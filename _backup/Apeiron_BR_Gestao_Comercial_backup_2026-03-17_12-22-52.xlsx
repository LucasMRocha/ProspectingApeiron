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Leads_Operations" sheetId="1" state="visible" r:id="rId1"/>
    <sheet name="Leads_Details" sheetId="2" state="visible" r:id="rId2"/>
    <sheet name="Accounts" sheetId="3" state="visible" r:id="rId3"/>
    <sheet name="📋 Contacts" sheetId="4" state="visible" r:id="rId4"/>
    <sheet name="📤 SharePoint Template" sheetId="5" state="visible" r:id="rId5"/>
  </sheets>
  <definedNames>
    <definedName name="_xlnm._FilterDatabase" localSheetId="0" hidden="1">'Leads_Operations'!$A$1:$O$60</definedName>
    <definedName name="_xlnm._FilterDatabase" localSheetId="1" hidden="1">'Leads_Details'!$A$1:$AB$60</definedName>
    <definedName name="_xlnm._FilterDatabase" localSheetId="2" hidden="1">'Accounts'!$A$1:$M$19</definedName>
    <definedName name="_xlnm._FilterDatabase" localSheetId="3" hidden="1">'📋 Contacts'!$A$3:$AD$62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41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9"/>
    </font>
    <font>
      <name val="Arial"/>
      <charset val="1"/>
      <color rgb="FF2C3E50"/>
      <sz val="9"/>
    </font>
    <font>
      <name val="Arial"/>
      <charset val="1"/>
      <b val="1"/>
      <color rgb="FF1A252F"/>
      <sz val="9"/>
    </font>
    <font>
      <name val="Arial"/>
      <charset val="1"/>
      <sz val="9"/>
    </font>
    <font>
      <name val="Arial"/>
      <charset val="1"/>
      <b val="1"/>
      <color rgb="FF1B4F72"/>
      <sz val="26"/>
    </font>
    <font>
      <name val="Arial"/>
      <charset val="1"/>
      <b val="1"/>
      <color rgb="FFC0392B"/>
      <sz val="26"/>
    </font>
    <font>
      <name val="Arial"/>
      <charset val="1"/>
      <b val="1"/>
      <color rgb="FF1E8449"/>
      <sz val="26"/>
    </font>
    <font>
      <name val="Arial"/>
      <charset val="1"/>
      <b val="1"/>
      <color rgb="FFE67E22"/>
      <sz val="26"/>
    </font>
    <font>
      <name val="Arial"/>
      <charset val="1"/>
      <b val="1"/>
      <color rgb="FF2E86C1"/>
      <sz val="26"/>
    </font>
    <font>
      <name val="Arial"/>
      <charset val="1"/>
      <color rgb="FF888888"/>
      <sz val="8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color rgb="FF2E86C1"/>
      <sz val="9"/>
    </font>
    <font>
      <name val="Arial"/>
      <charset val="1"/>
      <color rgb="FF888888"/>
      <sz val="9"/>
    </font>
    <font>
      <name val="Arial"/>
      <charset val="1"/>
      <color rgb="FFE74C3C"/>
      <sz val="9"/>
    </font>
    <font>
      <name val="Arial"/>
      <charset val="1"/>
      <color rgb="FF1E8449"/>
      <sz val="9"/>
    </font>
    <font>
      <name val="Arial"/>
      <charset val="1"/>
      <color rgb="FFE67E22"/>
      <sz val="9"/>
    </font>
    <font>
      <name val="Arial"/>
      <charset val="1"/>
      <b val="1"/>
      <color rgb="FF1E8449"/>
      <sz val="9"/>
    </font>
    <font>
      <name val="Arial"/>
      <charset val="1"/>
      <color rgb="FF2ECC71"/>
      <sz val="9"/>
    </font>
    <font>
      <name val="Arial"/>
      <charset val="1"/>
      <b val="1"/>
      <color rgb="FF1B4F72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8"/>
    </font>
    <font>
      <name val="Arial"/>
      <charset val="1"/>
      <color rgb="FF555555"/>
      <sz val="8"/>
    </font>
    <font>
      <name val="Arial"/>
      <charset val="1"/>
      <b val="1"/>
      <color rgb="FF1B4F72"/>
      <sz val="8"/>
    </font>
    <font>
      <name val="Arial"/>
      <charset val="1"/>
      <color rgb="FF1A252F"/>
      <sz val="9"/>
    </font>
    <font>
      <name val="Arial"/>
      <b val="1"/>
      <color rgb="FFFFFFFF"/>
      <sz val="9"/>
    </font>
    <font>
      <name val="Arial"/>
      <color rgb="FF2C3E50"/>
      <sz val="9"/>
    </font>
    <font>
      <name val="Arial"/>
      <b val="1"/>
      <color rgb="FF1A252F"/>
      <sz val="9"/>
    </font>
    <font>
      <name val="Arial"/>
      <b val="1"/>
      <sz val="9"/>
    </font>
    <font>
      <name val="Arial"/>
      <color rgb="FF1E8449"/>
      <sz val="9"/>
    </font>
    <font>
      <name val="Arial"/>
      <color rgb="FF1A252F"/>
      <sz val="9"/>
    </font>
    <font>
      <name val="Arial"/>
      <i val="1"/>
      <color rgb="FF7F8C8D"/>
      <sz val="9"/>
    </font>
    <font>
      <name val="Arial"/>
      <b val="1"/>
      <color rgb="FF1E8449"/>
      <sz val="9"/>
    </font>
    <font>
      <name val="Arial"/>
      <b val="1"/>
      <color rgb="FFE74C3C"/>
      <sz val="9"/>
    </font>
    <font>
      <name val="Arial"/>
      <b val="1"/>
      <color rgb="FFFFFFFF"/>
      <sz val="9"/>
    </font>
    <font>
      <name val="Arial"/>
      <b val="1"/>
      <color rgb="FFFFFFFF"/>
      <sz val="14"/>
    </font>
    <font>
      <name val="Arial"/>
      <color rgb="FF1F3D2E"/>
      <sz val="9"/>
    </font>
    <font>
      <name val="Arial"/>
      <b val="1"/>
      <color rgb="FF103B23"/>
      <sz val="9"/>
    </font>
    <font>
      <name val="Arial"/>
      <b val="1"/>
      <color rgb="FFFFFFFF"/>
      <sz val="10"/>
    </font>
  </fonts>
  <fills count="33">
    <fill>
      <patternFill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D6EAF8"/>
        <bgColor rgb="FFD5F5E3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D5F5E3"/>
        <bgColor rgb="FFD6EAF8"/>
      </patternFill>
    </fill>
    <fill>
      <patternFill patternType="solid">
        <fgColor rgb="FFE74C3C"/>
        <bgColor rgb="FFC0392B"/>
      </patternFill>
    </fill>
    <fill>
      <patternFill patternType="solid">
        <fgColor rgb="FFEBF5FB"/>
        <bgColor rgb="FFF2F3F4"/>
      </patternFill>
    </fill>
    <fill>
      <patternFill patternType="solid">
        <fgColor rgb="FFE67E22"/>
        <bgColor rgb="FFFF9900"/>
      </patternFill>
    </fill>
    <fill>
      <patternFill patternType="solid">
        <fgColor rgb="FFA9DFBF"/>
        <bgColor rgb="FFBDC3C7"/>
      </patternFill>
    </fill>
    <fill>
      <patternFill patternType="solid">
        <fgColor rgb="FF2ECC71"/>
        <bgColor rgb="FF00CCFF"/>
      </patternFill>
    </fill>
    <fill>
      <patternFill patternType="solid">
        <fgColor rgb="FFF2F3F4"/>
        <bgColor rgb="FFEBF5FB"/>
      </patternFill>
    </fill>
    <fill>
      <patternFill patternType="solid">
        <fgColor rgb="FFF9E79F"/>
        <bgColor rgb="FFEEEEEE"/>
      </patternFill>
    </fill>
    <fill>
      <patternFill patternType="solid">
        <fgColor rgb="FFF5B7B1"/>
        <bgColor rgb="FFBDC3C7"/>
      </patternFill>
    </fill>
    <fill>
      <patternFill patternType="solid">
        <fgColor rgb="FFFEF9E7"/>
        <bgColor rgb="FFF2F3F4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E74C3C"/>
      </patternFill>
    </fill>
    <fill>
      <patternFill patternType="solid">
        <fgColor rgb="FFEBF5FB"/>
      </patternFill>
    </fill>
    <fill>
      <patternFill patternType="solid">
        <fgColor rgb="FFE67E22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0F5132"/>
      </patternFill>
    </fill>
    <fill>
      <patternFill patternType="solid">
        <fgColor rgb="FFDDF3E4"/>
      </patternFill>
    </fill>
    <fill>
      <patternFill patternType="solid">
        <fgColor rgb="FF198754"/>
      </patternFill>
    </fill>
    <fill>
      <patternFill patternType="solid">
        <fgColor rgb="FFE7F6EC"/>
      </patternFill>
    </fill>
    <fill>
      <patternFill patternType="solid">
        <fgColor rgb="FFF9D6D2"/>
      </patternFill>
    </fill>
    <fill>
      <patternFill patternType="solid">
        <fgColor rgb="FFEAF7EE"/>
      </patternFill>
    </fill>
    <fill>
      <patternFill patternType="solid">
        <fgColor rgb="FFF4F8F5"/>
      </patternFill>
    </fill>
    <fill>
      <patternFill patternType="solid">
        <fgColor rgb="FFD8F1E1"/>
      </patternFill>
    </fill>
    <fill>
      <patternFill patternType="solid">
        <fgColor rgb="FFF4FBF6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CFE8D7"/>
      </left>
      <right style="thin">
        <color rgb="FFCFE8D7"/>
      </right>
      <top style="thin">
        <color rgb="FFCFE8D7"/>
      </top>
      <bottom style="thin">
        <color rgb="FFCFE8D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4" fillId="15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center" vertical="center"/>
    </xf>
    <xf numFmtId="164" fontId="26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0" fontId="28" fillId="16" borderId="5" applyAlignment="1" pivotButton="0" quotePrefix="0" xfId="0">
      <alignment horizontal="left" vertical="center"/>
    </xf>
    <xf numFmtId="0" fontId="29" fillId="17" borderId="5" applyAlignment="1" pivotButton="0" quotePrefix="0" xfId="0">
      <alignment horizontal="center" vertical="center"/>
    </xf>
    <xf numFmtId="0" fontId="27" fillId="18" borderId="5" applyAlignment="1" pivotButton="0" quotePrefix="0" xfId="0">
      <alignment horizontal="center" vertical="center"/>
    </xf>
    <xf numFmtId="164" fontId="28" fillId="16" borderId="5" applyAlignment="1" pivotButton="0" quotePrefix="0" xfId="0">
      <alignment horizontal="left" vertical="center"/>
    </xf>
    <xf numFmtId="0" fontId="29" fillId="16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left" vertical="center"/>
    </xf>
    <xf numFmtId="164" fontId="28" fillId="19" borderId="5" applyAlignment="1" pivotButton="0" quotePrefix="0" xfId="0">
      <alignment horizontal="left" vertical="center"/>
    </xf>
    <xf numFmtId="0" fontId="29" fillId="19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30" fillId="17" borderId="6" applyAlignment="1" pivotButton="0" quotePrefix="0" xfId="0">
      <alignment horizontal="center" vertical="center"/>
    </xf>
    <xf numFmtId="0" fontId="30" fillId="16" borderId="6" applyAlignment="1" pivotButton="0" quotePrefix="0" xfId="0">
      <alignment horizontal="center" vertical="center"/>
    </xf>
    <xf numFmtId="0" fontId="31" fillId="21" borderId="6" applyAlignment="1" pivotButton="0" quotePrefix="0" xfId="0">
      <alignment horizontal="center" vertical="center"/>
    </xf>
    <xf numFmtId="0" fontId="32" fillId="16" borderId="5" applyAlignment="1" pivotButton="0" quotePrefix="0" xfId="0">
      <alignment horizontal="left" vertical="center" wrapText="1"/>
    </xf>
    <xf numFmtId="0" fontId="32" fillId="19" borderId="5" applyAlignment="1" pivotButton="0" quotePrefix="0" xfId="0">
      <alignment horizontal="left" vertical="center" wrapText="1"/>
    </xf>
    <xf numFmtId="0" fontId="28" fillId="19" borderId="5" applyAlignment="1" pivotButton="0" quotePrefix="0" xfId="0">
      <alignment horizontal="left" vertical="center" wrapText="1"/>
    </xf>
    <xf numFmtId="0" fontId="28" fillId="16" borderId="5" applyAlignment="1" pivotButton="0" quotePrefix="0" xfId="0">
      <alignment horizontal="left" vertical="center" wrapText="1"/>
    </xf>
    <xf numFmtId="0" fontId="33" fillId="22" borderId="5" applyAlignment="1" pivotButton="0" quotePrefix="0" xfId="0">
      <alignment horizontal="left" vertical="center"/>
    </xf>
    <xf numFmtId="0" fontId="33" fillId="22" borderId="5" applyAlignment="1" pivotButton="0" quotePrefix="0" xfId="0">
      <alignment horizontal="left" vertical="center" wrapText="1"/>
    </xf>
    <xf numFmtId="164" fontId="33" fillId="22" borderId="5" applyAlignment="1" pivotButton="0" quotePrefix="0" xfId="0">
      <alignment horizontal="left" vertical="center"/>
    </xf>
    <xf numFmtId="0" fontId="29" fillId="17" borderId="6" applyAlignment="1" pivotButton="0" quotePrefix="0" xfId="0">
      <alignment horizontal="center" vertical="center"/>
    </xf>
    <xf numFmtId="0" fontId="32" fillId="16" borderId="6" applyAlignment="1" pivotButton="0" quotePrefix="0" xfId="0">
      <alignment horizontal="center" vertical="center"/>
    </xf>
    <xf numFmtId="0" fontId="34" fillId="21" borderId="6" applyAlignment="1" pivotButton="0" quotePrefix="0" xfId="0">
      <alignment horizontal="center" vertical="center"/>
    </xf>
    <xf numFmtId="0" fontId="35" fillId="21" borderId="6" applyAlignment="1" pivotButton="0" quotePrefix="0" xfId="0">
      <alignment horizontal="center" vertical="center"/>
    </xf>
    <xf numFmtId="0" fontId="36" fillId="26" borderId="7" applyAlignment="1" pivotButton="0" quotePrefix="0" xfId="0">
      <alignment horizontal="center" vertical="center" wrapText="1"/>
    </xf>
    <xf numFmtId="0" fontId="38" fillId="23" borderId="7" applyAlignment="1" pivotButton="0" quotePrefix="0" xfId="0">
      <alignment horizontal="center" vertical="center"/>
    </xf>
    <xf numFmtId="0" fontId="38" fillId="23" borderId="7" applyAlignment="1" pivotButton="0" quotePrefix="0" xfId="0">
      <alignment horizontal="left" vertical="center"/>
    </xf>
    <xf numFmtId="0" fontId="39" fillId="27" borderId="7" applyAlignment="1" pivotButton="0" quotePrefix="0" xfId="0">
      <alignment horizontal="center" vertical="center" wrapText="1"/>
    </xf>
    <xf numFmtId="0" fontId="39" fillId="28" borderId="7" applyAlignment="1" pivotButton="0" quotePrefix="0" xfId="0">
      <alignment horizontal="center" vertical="center" wrapText="1"/>
    </xf>
    <xf numFmtId="0" fontId="38" fillId="23" borderId="7" applyAlignment="1" pivotButton="0" quotePrefix="0" xfId="0">
      <alignment horizontal="left" vertical="center" wrapText="1"/>
    </xf>
    <xf numFmtId="164" fontId="38" fillId="23" borderId="7" applyAlignment="1" pivotButton="0" quotePrefix="0" xfId="0">
      <alignment horizontal="center" vertical="center"/>
    </xf>
    <xf numFmtId="0" fontId="38" fillId="23" borderId="7" applyAlignment="1" pivotButton="0" quotePrefix="0" xfId="0">
      <alignment horizontal="center" vertical="center" wrapText="1"/>
    </xf>
    <xf numFmtId="0" fontId="38" fillId="29" borderId="7" applyAlignment="1" pivotButton="0" quotePrefix="0" xfId="0">
      <alignment horizontal="center" vertical="center"/>
    </xf>
    <xf numFmtId="0" fontId="38" fillId="29" borderId="7" applyAlignment="1" pivotButton="0" quotePrefix="0" xfId="0">
      <alignment horizontal="left" vertical="center"/>
    </xf>
    <xf numFmtId="0" fontId="39" fillId="30" borderId="7" applyAlignment="1" pivotButton="0" quotePrefix="0" xfId="0">
      <alignment horizontal="center" vertical="center" wrapText="1"/>
    </xf>
    <xf numFmtId="0" fontId="38" fillId="29" borderId="7" applyAlignment="1" pivotButton="0" quotePrefix="0" xfId="0">
      <alignment horizontal="left" vertical="center" wrapText="1"/>
    </xf>
    <xf numFmtId="164" fontId="38" fillId="29" borderId="7" applyAlignment="1" pivotButton="0" quotePrefix="0" xfId="0">
      <alignment horizontal="center" vertical="center"/>
    </xf>
    <xf numFmtId="0" fontId="38" fillId="29" borderId="7" applyAlignment="1" pivotButton="0" quotePrefix="0" xfId="0">
      <alignment horizontal="center" vertical="center" wrapText="1"/>
    </xf>
    <xf numFmtId="0" fontId="39" fillId="31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0" fillId="26" borderId="7" applyAlignment="1" pivotButton="0" quotePrefix="0" xfId="0">
      <alignment horizontal="center" vertical="center" wrapText="1"/>
    </xf>
    <xf numFmtId="0" fontId="38" fillId="32" borderId="7" applyAlignment="1" pivotButton="0" quotePrefix="0" xfId="0">
      <alignment horizontal="left" vertical="center"/>
    </xf>
    <xf numFmtId="0" fontId="38" fillId="32" borderId="7" applyAlignment="1" pivotButton="0" quotePrefix="0" xfId="0">
      <alignment horizontal="left" vertical="center" wrapText="1"/>
    </xf>
    <xf numFmtId="0" fontId="38" fillId="0" borderId="7" applyAlignment="1" pivotButton="0" quotePrefix="0" xfId="0">
      <alignment horizontal="left" vertical="center"/>
    </xf>
    <xf numFmtId="0" fontId="38" fillId="0" borderId="7" applyAlignment="1" pivotButton="0" quotePrefix="0" xfId="0">
      <alignment horizontal="left" vertical="center" wrapText="1"/>
    </xf>
    <xf numFmtId="0" fontId="38" fillId="32" borderId="7" applyAlignment="1" pivotButton="0" quotePrefix="0" xfId="0">
      <alignment horizontal="left" vertical="top"/>
    </xf>
    <xf numFmtId="0" fontId="38" fillId="32" borderId="7" applyAlignment="1" pivotButton="0" quotePrefix="0" xfId="0">
      <alignment horizontal="left" vertical="top" wrapText="1"/>
    </xf>
    <xf numFmtId="165" fontId="38" fillId="32" borderId="7" applyAlignment="1" pivotButton="0" quotePrefix="0" xfId="0">
      <alignment horizontal="left" vertical="top"/>
    </xf>
    <xf numFmtId="0" fontId="38" fillId="0" borderId="7" applyAlignment="1" pivotButton="0" quotePrefix="0" xfId="0">
      <alignment horizontal="left" vertical="top"/>
    </xf>
    <xf numFmtId="0" fontId="38" fillId="0" borderId="7" applyAlignment="1" pivotButton="0" quotePrefix="0" xfId="0">
      <alignment horizontal="left" vertical="top" wrapText="1"/>
    </xf>
    <xf numFmtId="165" fontId="38" fillId="0" borderId="7" applyAlignment="1" pivotButton="0" quotePrefix="0" xfId="0">
      <alignment horizontal="left" vertical="top"/>
    </xf>
    <xf numFmtId="0" fontId="40" fillId="24" borderId="7" applyAlignment="1" pivotButton="0" quotePrefix="0" xfId="0">
      <alignment horizontal="center" vertical="center" wrapText="1"/>
    </xf>
    <xf numFmtId="9" fontId="38" fillId="32" borderId="7" applyAlignment="1" pivotButton="0" quotePrefix="0" xfId="0">
      <alignment horizontal="left" vertical="center"/>
    </xf>
    <xf numFmtId="9" fontId="38" fillId="0" borderId="7" applyAlignment="1" pivotButton="0" quotePrefix="0" xfId="0">
      <alignment horizontal="left" vertical="center"/>
    </xf>
    <xf numFmtId="0" fontId="37" fillId="24" borderId="0" applyAlignment="1" pivotButton="0" quotePrefix="0" xfId="0">
      <alignment horizontal="center" vertical="center"/>
    </xf>
    <xf numFmtId="0" fontId="0" fillId="0" borderId="0" pivotButton="0" quotePrefix="0" xfId="0"/>
    <xf numFmtId="0" fontId="38" fillId="25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11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9E79F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B0E5C2"/>
        </patternFill>
      </fill>
    </dxf>
    <dxf>
      <fill>
        <patternFill patternType="solid">
          <f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88888"/>
      <rgbColor rgb="FF9999FF"/>
      <rgbColor rgb="FF993366"/>
      <rgbColor rgb="FFFEF9E7"/>
      <rgbColor rgb="FFD6EAF8"/>
      <rgbColor rgb="FF660066"/>
      <rgbColor rgb="FFE74C3C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E79F"/>
      <rgbColor rgb="FFA9DFBF"/>
      <rgbColor rgb="FFEEEEEE"/>
      <rgbColor rgb="FFF2F3F4"/>
      <rgbColor rgb="FFF5B7B1"/>
      <rgbColor rgb="FF2E86C1"/>
      <rgbColor rgb="FF2ECC71"/>
      <rgbColor rgb="FF99CC00"/>
      <rgbColor rgb="FFFFCC00"/>
      <rgbColor rgb="FFFF9900"/>
      <rgbColor rgb="FFE67E22"/>
      <rgbColor rgb="FF555555"/>
      <rgbColor rgb="FF969696"/>
      <rgbColor rgb="FF0E3460"/>
      <rgbColor rgb="FF1E8449"/>
      <rgbColor rgb="FF003300"/>
      <rgbColor rgb="FF1A252F"/>
      <rgbColor rgb="FFC0392B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8" defaultRowHeight="14.4"/>
  <cols>
    <col width="7.21875" bestFit="1" customWidth="1" style="83" min="1" max="1"/>
    <col width="17.6640625" bestFit="1" customWidth="1" style="83" min="2" max="2"/>
    <col width="30" bestFit="1" customWidth="1" style="83" min="3" max="3"/>
    <col width="42.109375" bestFit="1" customWidth="1" style="83" min="4" max="4"/>
    <col width="14.5546875" bestFit="1" customWidth="1" style="83" min="5" max="5"/>
    <col width="14.6640625" bestFit="1" customWidth="1" style="83" min="6" max="6"/>
    <col width="18" bestFit="1" customWidth="1" style="83" min="7" max="7"/>
    <col width="19.88671875" bestFit="1" customWidth="1" style="83" min="8" max="8"/>
    <col width="21" bestFit="1" customWidth="1" style="83" min="9" max="9"/>
    <col width="192.77734375" bestFit="1" customWidth="1" style="83" min="10" max="10"/>
    <col width="17.44140625" bestFit="1" customWidth="1" style="83" min="11" max="11"/>
    <col width="22.33203125" bestFit="1" customWidth="1" style="83" min="12" max="12"/>
    <col width="18.6640625" bestFit="1" customWidth="1" style="83" min="13" max="13"/>
    <col width="15" bestFit="1" customWidth="1" style="83" min="14" max="14"/>
    <col width="18.21875" bestFit="1" customWidth="1" style="83" min="15" max="15"/>
  </cols>
  <sheetData>
    <row r="1" ht="24" customHeight="1" s="83">
      <c r="A1" s="68" t="inlineStr">
        <is>
          <t>ID</t>
        </is>
      </c>
      <c r="B1" s="68" t="inlineStr">
        <is>
          <t>Company</t>
        </is>
      </c>
      <c r="C1" s="68" t="inlineStr">
        <is>
          <t>Full Name</t>
        </is>
      </c>
      <c r="D1" s="68" t="inlineStr">
        <is>
          <t>Role</t>
        </is>
      </c>
      <c r="E1" s="68" t="inlineStr">
        <is>
          <t>Status</t>
        </is>
      </c>
      <c r="F1" s="68" t="inlineStr">
        <is>
          <t>Priority</t>
        </is>
      </c>
      <c r="G1" s="68" t="inlineStr">
        <is>
          <t>Next Action</t>
        </is>
      </c>
      <c r="H1" s="68" t="inlineStr">
        <is>
          <t>Next Action Date</t>
        </is>
      </c>
      <c r="I1" s="68" t="inlineStr">
        <is>
          <t>Channel</t>
        </is>
      </c>
      <c r="J1" t="inlineStr">
        <is>
          <t>Channel Email</t>
        </is>
      </c>
      <c r="K1" t="inlineStr">
        <is>
          <t>Channel Phone</t>
        </is>
      </c>
      <c r="L1" t="inlineStr">
        <is>
          <t>Channel LinkedIn</t>
        </is>
      </c>
      <c r="M1" t="inlineStr">
        <is>
          <t>Channel WhatsApp</t>
        </is>
      </c>
      <c r="N1" s="68" t="inlineStr">
        <is>
          <t>Lead Insight</t>
        </is>
      </c>
      <c r="O1" s="68" t="inlineStr">
        <is>
          <t>Action Due</t>
        </is>
      </c>
      <c r="P1" s="68" t="inlineStr">
        <is>
          <t>Possible Duplicate</t>
        </is>
      </c>
      <c r="Q1" s="68" t="inlineStr">
        <is>
          <t>Last Contact</t>
        </is>
      </c>
      <c r="R1" s="68" t="inlineStr">
        <is>
          <t>Source</t>
        </is>
      </c>
      <c r="S1" s="68" t="inlineStr">
        <is>
          <t>SharePoint_ID</t>
        </is>
      </c>
    </row>
    <row r="2">
      <c r="A2" s="69" t="n">
        <v>1</v>
      </c>
      <c r="B2" s="69" t="inlineStr">
        <is>
          <t>FORTLEV</t>
        </is>
      </c>
      <c r="C2" s="69" t="inlineStr">
        <is>
          <t>Keylla Mollulo</t>
        </is>
      </c>
      <c r="D2" s="69" t="inlineStr">
        <is>
          <t>REC Share Es Unit</t>
        </is>
      </c>
      <c r="E2" s="69" t="inlineStr">
        <is>
          <t>In Contact</t>
        </is>
      </c>
      <c r="F2" s="69" t="inlineStr">
        <is>
          <t>High</t>
        </is>
      </c>
      <c r="G2" s="70" t="n"/>
      <c r="H2" s="69" t="n"/>
      <c r="I2" s="69" t="inlineStr">
        <is>
          <t>Email, LinkedIn</t>
        </is>
      </c>
      <c r="J2" t="inlineStr">
        <is>
          <t>Yes</t>
        </is>
      </c>
      <c r="L2" t="inlineStr">
        <is>
          <t>Yes</t>
        </is>
      </c>
      <c r="N2" s="69" t="inlineStr">
        <is>
          <t>Original lead — generated Fortlev mapping</t>
        </is>
      </c>
      <c r="O2" s="69">
        <f>IF(AND(H2&lt;&gt;"",H2&lt;TODAY(),E2&lt;&gt;"Client"),"Overdue","On track")</f>
        <v/>
      </c>
      <c r="P2" s="69" t="n"/>
      <c r="Q2" s="69" t="n"/>
      <c r="R2" s="69" t="inlineStr">
        <is>
          <t>Apollo+LinkedIn</t>
        </is>
      </c>
      <c r="S2" s="69" t="n"/>
    </row>
    <row r="3">
      <c r="A3" s="71" t="n">
        <v>2</v>
      </c>
      <c r="B3" s="71" t="inlineStr">
        <is>
          <t>FORTLEV</t>
        </is>
      </c>
      <c r="C3" s="71" t="inlineStr">
        <is>
          <t>Jose Luis Campos de Faria</t>
        </is>
      </c>
      <c r="D3" s="71" t="inlineStr">
        <is>
          <t>Supply Manager</t>
        </is>
      </c>
      <c r="E3" s="71" t="inlineStr">
        <is>
          <t>New</t>
        </is>
      </c>
      <c r="F3" s="71" t="inlineStr">
        <is>
          <t>High</t>
        </is>
      </c>
      <c r="G3" s="72" t="n"/>
      <c r="H3" s="71" t="n"/>
      <c r="I3" s="71" t="inlineStr">
        <is>
          <t>No contact</t>
        </is>
      </c>
      <c r="N3" s="71" t="inlineStr">
        <is>
          <t>Main supply decision maker</t>
        </is>
      </c>
      <c r="O3" s="71">
        <f>IF(AND(H3&lt;&gt;"",H3&lt;TODAY(),E3&lt;&gt;"Client"),"Overdue","On track")</f>
        <v/>
      </c>
      <c r="P3" s="71" t="n"/>
      <c r="Q3" s="71" t="n"/>
      <c r="R3" s="71" t="inlineStr">
        <is>
          <t>Apollo+LinkedIn</t>
        </is>
      </c>
      <c r="S3" s="71" t="n"/>
    </row>
    <row r="4">
      <c r="A4" s="69" t="n">
        <v>3</v>
      </c>
      <c r="B4" s="69" t="inlineStr">
        <is>
          <t>FORTLEV</t>
        </is>
      </c>
      <c r="C4" s="69" t="inlineStr">
        <is>
          <t>Madson Vidal</t>
        </is>
      </c>
      <c r="D4" s="69" t="inlineStr">
        <is>
          <t>Supply Manager</t>
        </is>
      </c>
      <c r="E4" s="69" t="inlineStr">
        <is>
          <t>New</t>
        </is>
      </c>
      <c r="F4" s="69" t="inlineStr">
        <is>
          <t>High</t>
        </is>
      </c>
      <c r="G4" s="70" t="n"/>
      <c r="H4" s="69" t="n"/>
      <c r="I4" s="69" t="inlineStr">
        <is>
          <t>No contact</t>
        </is>
      </c>
      <c r="N4" s="69" t="inlineStr">
        <is>
          <t>5k followers on LinkedIn — active on the network</t>
        </is>
      </c>
      <c r="O4" s="69">
        <f>IF(AND(H4&lt;&gt;"",H4&lt;TODAY(),E4&lt;&gt;"Client"),"Overdue","On track")</f>
        <v/>
      </c>
      <c r="P4" s="69" t="n"/>
      <c r="Q4" s="69" t="n"/>
      <c r="R4" s="69" t="inlineStr">
        <is>
          <t>Apollo+LinkedIn</t>
        </is>
      </c>
      <c r="S4" s="69" t="n"/>
    </row>
    <row r="5">
      <c r="A5" s="71" t="n">
        <v>4</v>
      </c>
      <c r="B5" s="71" t="inlineStr">
        <is>
          <t>FORTLEV</t>
        </is>
      </c>
      <c r="C5" s="71" t="inlineStr">
        <is>
          <t>Richard Antonio Silva</t>
        </is>
      </c>
      <c r="D5" s="71" t="inlineStr">
        <is>
          <t>Corporate Maintenance Manager</t>
        </is>
      </c>
      <c r="E5" s="71" t="inlineStr">
        <is>
          <t>New</t>
        </is>
      </c>
      <c r="F5" s="71" t="inlineStr">
        <is>
          <t>High</t>
        </is>
      </c>
      <c r="G5" s="72" t="n"/>
      <c r="H5" s="71" t="n"/>
      <c r="I5" s="71" t="inlineStr">
        <is>
          <t>No contact</t>
        </is>
      </c>
      <c r="N5" s="71" t="inlineStr">
        <is>
          <t>Main maintenance decision maker</t>
        </is>
      </c>
      <c r="O5" s="71">
        <f>IF(AND(H5&lt;&gt;"",H5&lt;TODAY(),E5&lt;&gt;"Client"),"Overdue","On track")</f>
        <v/>
      </c>
      <c r="P5" s="71" t="n"/>
      <c r="Q5" s="71" t="n"/>
      <c r="R5" s="71" t="inlineStr">
        <is>
          <t>Apollo+LinkedIn</t>
        </is>
      </c>
      <c r="S5" s="71" t="n"/>
    </row>
    <row r="6">
      <c r="A6" s="69" t="n">
        <v>5</v>
      </c>
      <c r="B6" s="69" t="inlineStr">
        <is>
          <t>FORTLEV</t>
        </is>
      </c>
      <c r="C6" s="69" t="inlineStr">
        <is>
          <t>Rogerio</t>
        </is>
      </c>
      <c r="D6" s="69" t="inlineStr">
        <is>
          <t>Maintenance Manager</t>
        </is>
      </c>
      <c r="E6" s="69" t="inlineStr">
        <is>
          <t>New</t>
        </is>
      </c>
      <c r="F6" s="69" t="inlineStr">
        <is>
          <t>High</t>
        </is>
      </c>
      <c r="G6" s="70" t="n"/>
      <c r="H6" s="69" t="n"/>
      <c r="I6" s="69" t="inlineStr">
        <is>
          <t>No contact</t>
        </is>
      </c>
      <c r="N6" s="69" t="n"/>
      <c r="O6" s="69">
        <f>IF(AND(H6&lt;&gt;"",H6&lt;TODAY(),E6&lt;&gt;"Client"),"Overdue","On track")</f>
        <v/>
      </c>
      <c r="P6" s="69" t="n"/>
      <c r="Q6" s="69" t="n"/>
      <c r="R6" s="69" t="inlineStr">
        <is>
          <t>Apollo</t>
        </is>
      </c>
      <c r="S6" s="69" t="n"/>
    </row>
    <row r="7">
      <c r="A7" s="71" t="n">
        <v>6</v>
      </c>
      <c r="B7" s="71" t="inlineStr">
        <is>
          <t>FORTLEV</t>
        </is>
      </c>
      <c r="C7" s="71" t="inlineStr">
        <is>
          <t>Jefferson</t>
        </is>
      </c>
      <c r="D7" s="71" t="inlineStr">
        <is>
          <t>Maintenance Supervisor</t>
        </is>
      </c>
      <c r="E7" s="71" t="inlineStr">
        <is>
          <t>New</t>
        </is>
      </c>
      <c r="F7" s="71" t="inlineStr">
        <is>
          <t>Medium</t>
        </is>
      </c>
      <c r="G7" s="72" t="n"/>
      <c r="H7" s="71" t="n"/>
      <c r="I7" s="71" t="inlineStr">
        <is>
          <t>No contact</t>
        </is>
      </c>
      <c r="N7" s="71" t="n"/>
      <c r="O7" s="71">
        <f>IF(AND(H7&lt;&gt;"",H7&lt;TODAY(),E7&lt;&gt;"Client"),"Overdue","On track")</f>
        <v/>
      </c>
      <c r="P7" s="71" t="n"/>
      <c r="Q7" s="71" t="n"/>
      <c r="R7" s="71" t="inlineStr">
        <is>
          <t>Apollo</t>
        </is>
      </c>
      <c r="S7" s="71" t="n"/>
    </row>
    <row r="8">
      <c r="A8" s="69" t="n">
        <v>7</v>
      </c>
      <c r="B8" s="69" t="inlineStr">
        <is>
          <t>FORTLEV</t>
        </is>
      </c>
      <c r="C8" s="69" t="inlineStr">
        <is>
          <t>Rafaella Queiróz Pessotti de Almeida</t>
        </is>
      </c>
      <c r="D8" s="69" t="inlineStr">
        <is>
          <t>Supply Specialist</t>
        </is>
      </c>
      <c r="E8" s="69" t="inlineStr">
        <is>
          <t>New</t>
        </is>
      </c>
      <c r="F8" s="69" t="inlineStr">
        <is>
          <t>High</t>
        </is>
      </c>
      <c r="G8" s="70" t="n"/>
      <c r="H8" s="69" t="n"/>
      <c r="I8" s="69" t="inlineStr">
        <is>
          <t>No contact</t>
        </is>
      </c>
      <c r="N8" s="69" t="inlineStr">
        <is>
          <t>SAP — Purchasing Strategy</t>
        </is>
      </c>
      <c r="O8" s="69">
        <f>IF(AND(H8&lt;&gt;"",H8&lt;TODAY(),E8&lt;&gt;"Client"),"Overdue","On track")</f>
        <v/>
      </c>
      <c r="P8" s="69" t="n"/>
      <c r="Q8" s="69" t="n"/>
      <c r="R8" s="69" t="inlineStr">
        <is>
          <t>Apollo+LinkedIn</t>
        </is>
      </c>
      <c r="S8" s="69" t="n"/>
    </row>
    <row r="9">
      <c r="A9" s="71" t="n">
        <v>8</v>
      </c>
      <c r="B9" s="71" t="inlineStr">
        <is>
          <t>FORTLEV</t>
        </is>
      </c>
      <c r="C9" s="71" t="inlineStr">
        <is>
          <t>Daniella Lopes</t>
        </is>
      </c>
      <c r="D9" s="71" t="inlineStr">
        <is>
          <t>Supply Specialist</t>
        </is>
      </c>
      <c r="E9" s="71" t="inlineStr">
        <is>
          <t>New</t>
        </is>
      </c>
      <c r="F9" s="71" t="inlineStr">
        <is>
          <t>High</t>
        </is>
      </c>
      <c r="G9" s="72" t="n"/>
      <c r="H9" s="71" t="n"/>
      <c r="I9" s="71" t="inlineStr">
        <is>
          <t>No contact</t>
        </is>
      </c>
      <c r="N9" s="71" t="inlineStr">
        <is>
          <t>10+ years in Industrial Purchasing</t>
        </is>
      </c>
      <c r="O9" s="71">
        <f>IF(AND(H9&lt;&gt;"",H9&lt;TODAY(),E9&lt;&gt;"Client"),"Overdue","On track")</f>
        <v/>
      </c>
      <c r="P9" s="71" t="n"/>
      <c r="Q9" s="71" t="n"/>
      <c r="R9" s="71" t="inlineStr">
        <is>
          <t>Apollo+LinkedIn</t>
        </is>
      </c>
      <c r="S9" s="71" t="n"/>
    </row>
    <row r="10">
      <c r="A10" s="69" t="n">
        <v>9</v>
      </c>
      <c r="B10" s="69" t="inlineStr">
        <is>
          <t>FORTLEV</t>
        </is>
      </c>
      <c r="C10" s="69" t="inlineStr">
        <is>
          <t>Robson Dal Col Ribeiro</t>
        </is>
      </c>
      <c r="D10" s="69" t="inlineStr">
        <is>
          <t>Supply Specialist - SAP MM</t>
        </is>
      </c>
      <c r="E10" s="69" t="inlineStr">
        <is>
          <t>New</t>
        </is>
      </c>
      <c r="F10" s="69" t="inlineStr">
        <is>
          <t>Medium</t>
        </is>
      </c>
      <c r="G10" s="70" t="n"/>
      <c r="H10" s="69" t="n"/>
      <c r="I10" s="69" t="inlineStr">
        <is>
          <t>No contact</t>
        </is>
      </c>
      <c r="N10" s="69" t="inlineStr">
        <is>
          <t>SAP S/4HANA MM — technical profile</t>
        </is>
      </c>
      <c r="O10" s="69">
        <f>IF(AND(H10&lt;&gt;"",H10&lt;TODAY(),E10&lt;&gt;"Client"),"Overdue","On track")</f>
        <v/>
      </c>
      <c r="P10" s="69" t="n"/>
      <c r="Q10" s="69" t="n"/>
      <c r="R10" s="69" t="inlineStr">
        <is>
          <t>Apollo+LinkedIn</t>
        </is>
      </c>
      <c r="S10" s="69" t="n"/>
    </row>
    <row r="11">
      <c r="A11" s="71" t="n">
        <v>10</v>
      </c>
      <c r="B11" s="71" t="inlineStr">
        <is>
          <t>FORTLEV</t>
        </is>
      </c>
      <c r="C11" s="71" t="inlineStr">
        <is>
          <t>Pablo Silva</t>
        </is>
      </c>
      <c r="D11" s="71" t="inlineStr">
        <is>
          <t>Maintenance Specialist</t>
        </is>
      </c>
      <c r="E11" s="71" t="inlineStr">
        <is>
          <t>New</t>
        </is>
      </c>
      <c r="F11" s="71" t="inlineStr">
        <is>
          <t>High</t>
        </is>
      </c>
      <c r="G11" s="72" t="n"/>
      <c r="H11" s="71" t="n"/>
      <c r="I11" s="71" t="inlineStr">
        <is>
          <t>No contact</t>
        </is>
      </c>
      <c r="N11" s="71" t="inlineStr">
        <is>
          <t>Automation technician</t>
        </is>
      </c>
      <c r="O11" s="71">
        <f>IF(AND(H11&lt;&gt;"",H11&lt;TODAY(),E11&lt;&gt;"Client"),"Overdue","On track")</f>
        <v/>
      </c>
      <c r="P11" s="71" t="n"/>
      <c r="Q11" s="71" t="n"/>
      <c r="R11" s="71" t="inlineStr">
        <is>
          <t>Apollo+LinkedIn</t>
        </is>
      </c>
      <c r="S11" s="71" t="n"/>
    </row>
    <row r="12">
      <c r="A12" s="69" t="n">
        <v>11</v>
      </c>
      <c r="B12" s="69" t="inlineStr">
        <is>
          <t>FORTLEV</t>
        </is>
      </c>
      <c r="C12" s="69" t="inlineStr">
        <is>
          <t>Franklin Douglas Leal</t>
        </is>
      </c>
      <c r="D12" s="69" t="inlineStr">
        <is>
          <t>Supply Analyst</t>
        </is>
      </c>
      <c r="E12" s="69" t="inlineStr">
        <is>
          <t>Meeting Scheduled</t>
        </is>
      </c>
      <c r="F12" s="69" t="inlineStr">
        <is>
          <t>High</t>
        </is>
      </c>
      <c r="G12" s="70" t="n"/>
      <c r="H12" s="69" t="n"/>
      <c r="I12" s="69" t="inlineStr">
        <is>
          <t>No contact</t>
        </is>
      </c>
      <c r="N12" s="69" t="inlineStr">
        <is>
          <t>In the global spreadsheet (ID 9 and 199) — prob. 100%</t>
        </is>
      </c>
      <c r="O12" s="69">
        <f>IF(AND(H12&lt;&gt;"",H12&lt;TODAY(),E12&lt;&gt;"Client"),"Overdue","On track")</f>
        <v/>
      </c>
      <c r="P12" s="69" t="n"/>
      <c r="Q12" s="69" t="n"/>
      <c r="R12" s="69" t="inlineStr">
        <is>
          <t>Apollo+LinkedIn</t>
        </is>
      </c>
      <c r="S12" s="69" t="inlineStr">
        <is>
          <t>9</t>
        </is>
      </c>
    </row>
    <row r="13">
      <c r="A13" s="71" t="n">
        <v>12</v>
      </c>
      <c r="B13" s="71" t="inlineStr">
        <is>
          <t>FORTLEV</t>
        </is>
      </c>
      <c r="C13" s="71" t="inlineStr">
        <is>
          <t>Mariana Branco</t>
        </is>
      </c>
      <c r="D13" s="71" t="inlineStr">
        <is>
          <t>Supply Analyst</t>
        </is>
      </c>
      <c r="E13" s="71" t="inlineStr">
        <is>
          <t>New</t>
        </is>
      </c>
      <c r="F13" s="71" t="inlineStr">
        <is>
          <t>Medium</t>
        </is>
      </c>
      <c r="G13" s="72" t="n"/>
      <c r="H13" s="71" t="n"/>
      <c r="I13" s="71" t="inlineStr">
        <is>
          <t>No contact</t>
        </is>
      </c>
      <c r="N13" s="71" t="n"/>
      <c r="O13" s="71">
        <f>IF(AND(H13&lt;&gt;"",H13&lt;TODAY(),E13&lt;&gt;"Client"),"Overdue","On track")</f>
        <v/>
      </c>
      <c r="P13" s="71" t="n"/>
      <c r="Q13" s="71" t="n"/>
      <c r="R13" s="71" t="inlineStr">
        <is>
          <t>Apollo+LinkedIn</t>
        </is>
      </c>
      <c r="S13" s="71" t="n"/>
    </row>
    <row r="14">
      <c r="A14" s="69" t="n">
        <v>13</v>
      </c>
      <c r="B14" s="69" t="inlineStr">
        <is>
          <t>FORTLEV</t>
        </is>
      </c>
      <c r="C14" s="69" t="inlineStr">
        <is>
          <t>Daniel Pessanha Ribeiro</t>
        </is>
      </c>
      <c r="D14" s="69" t="inlineStr">
        <is>
          <t>PL Supply Analyst</t>
        </is>
      </c>
      <c r="E14" s="69" t="inlineStr">
        <is>
          <t>New</t>
        </is>
      </c>
      <c r="F14" s="69" t="inlineStr">
        <is>
          <t>Medium</t>
        </is>
      </c>
      <c r="G14" s="70" t="n"/>
      <c r="H14" s="69" t="n"/>
      <c r="I14" s="69" t="inlineStr">
        <is>
          <t>No contact</t>
        </is>
      </c>
      <c r="N14" s="69" t="inlineStr">
        <is>
          <t>SAP MM and FI — inbound e-procurement</t>
        </is>
      </c>
      <c r="O14" s="69">
        <f>IF(AND(H14&lt;&gt;"",H14&lt;TODAY(),E14&lt;&gt;"Client"),"Overdue","On track")</f>
        <v/>
      </c>
      <c r="P14" s="69" t="n"/>
      <c r="Q14" s="69" t="n"/>
      <c r="R14" s="69" t="inlineStr">
        <is>
          <t>Apollo+LinkedIn</t>
        </is>
      </c>
      <c r="S14" s="69" t="n"/>
    </row>
    <row r="15">
      <c r="A15" s="71" t="n">
        <v>14</v>
      </c>
      <c r="B15" s="71" t="inlineStr">
        <is>
          <t>FORTLEV</t>
        </is>
      </c>
      <c r="C15" s="71" t="inlineStr">
        <is>
          <t>Braulio Brito</t>
        </is>
      </c>
      <c r="D15" s="71" t="inlineStr">
        <is>
          <t>Full Supply Analyst</t>
        </is>
      </c>
      <c r="E15" s="71" t="inlineStr">
        <is>
          <t>New</t>
        </is>
      </c>
      <c r="F15" s="71" t="inlineStr">
        <is>
          <t>Medium</t>
        </is>
      </c>
      <c r="G15" s="72" t="n"/>
      <c r="H15" s="71" t="n"/>
      <c r="I15" s="71" t="inlineStr">
        <is>
          <t>No contact</t>
        </is>
      </c>
      <c r="N15" s="71" t="inlineStr">
        <is>
          <t>Strategic purchasing — steel materials</t>
        </is>
      </c>
      <c r="O15" s="71">
        <f>IF(AND(H15&lt;&gt;"",H15&lt;TODAY(),E15&lt;&gt;"Client"),"Overdue","On track")</f>
        <v/>
      </c>
      <c r="P15" s="71" t="n"/>
      <c r="Q15" s="71" t="n"/>
      <c r="R15" s="71" t="inlineStr">
        <is>
          <t>Apollo+LinkedIn</t>
        </is>
      </c>
      <c r="S15" s="71" t="n"/>
    </row>
    <row r="16">
      <c r="A16" s="69" t="n">
        <v>15</v>
      </c>
      <c r="B16" s="69" t="inlineStr">
        <is>
          <t>FORTLEV</t>
        </is>
      </c>
      <c r="C16" s="69" t="inlineStr">
        <is>
          <t>Lorenza</t>
        </is>
      </c>
      <c r="D16" s="69" t="inlineStr">
        <is>
          <t>Supply Analyst</t>
        </is>
      </c>
      <c r="E16" s="69" t="inlineStr">
        <is>
          <t>New</t>
        </is>
      </c>
      <c r="F16" s="69" t="inlineStr">
        <is>
          <t>Low</t>
        </is>
      </c>
      <c r="G16" s="70" t="n"/>
      <c r="H16" s="69" t="n"/>
      <c r="I16" s="69" t="inlineStr">
        <is>
          <t>No contact</t>
        </is>
      </c>
      <c r="N16" s="69" t="n"/>
      <c r="O16" s="69">
        <f>IF(AND(H16&lt;&gt;"",H16&lt;TODAY(),E16&lt;&gt;"Client"),"Overdue","On track")</f>
        <v/>
      </c>
      <c r="P16" s="69" t="n"/>
      <c r="Q16" s="69" t="n"/>
      <c r="R16" s="69" t="inlineStr">
        <is>
          <t>Apollo</t>
        </is>
      </c>
      <c r="S16" s="69" t="n"/>
    </row>
    <row r="17">
      <c r="A17" s="71" t="n">
        <v>16</v>
      </c>
      <c r="B17" s="71" t="inlineStr">
        <is>
          <t>FORTLEV</t>
        </is>
      </c>
      <c r="C17" s="71" t="inlineStr">
        <is>
          <t>Mathews José Peixoto de Oliveira</t>
        </is>
      </c>
      <c r="D17" s="71" t="inlineStr">
        <is>
          <t>Maintenance Planning and Control Analyst</t>
        </is>
      </c>
      <c r="E17" s="71" t="inlineStr">
        <is>
          <t>New</t>
        </is>
      </c>
      <c r="F17" s="71" t="inlineStr">
        <is>
          <t>Medium</t>
        </is>
      </c>
      <c r="G17" s="72" t="n"/>
      <c r="H17" s="71" t="n"/>
      <c r="I17" s="71" t="inlineStr">
        <is>
          <t>No contact</t>
        </is>
      </c>
      <c r="N17" s="71" t="inlineStr">
        <is>
          <t>Mechanical Engineer — PCM</t>
        </is>
      </c>
      <c r="O17" s="71">
        <f>IF(AND(H17&lt;&gt;"",H17&lt;TODAY(),E17&lt;&gt;"Client"),"Overdue","On track")</f>
        <v/>
      </c>
      <c r="P17" s="71" t="n"/>
      <c r="Q17" s="71" t="n"/>
      <c r="R17" s="71" t="inlineStr">
        <is>
          <t>Apollo+LinkedIn</t>
        </is>
      </c>
      <c r="S17" s="71" t="n"/>
    </row>
    <row r="18">
      <c r="A18" s="69" t="n">
        <v>17</v>
      </c>
      <c r="B18" s="69" t="inlineStr">
        <is>
          <t>FORTLEV</t>
        </is>
      </c>
      <c r="C18" s="69" t="inlineStr">
        <is>
          <t>Nycolle Salles</t>
        </is>
      </c>
      <c r="D18" s="69" t="inlineStr">
        <is>
          <t>Maintenance Engineering</t>
        </is>
      </c>
      <c r="E18" s="69" t="inlineStr">
        <is>
          <t>New</t>
        </is>
      </c>
      <c r="F18" s="69" t="inlineStr">
        <is>
          <t>Medium</t>
        </is>
      </c>
      <c r="G18" s="70" t="n"/>
      <c r="H18" s="69" t="n"/>
      <c r="I18" s="69" t="inlineStr">
        <is>
          <t>No contact</t>
        </is>
      </c>
      <c r="N18" s="69" t="inlineStr">
        <is>
          <t>Mecânica Industrial</t>
        </is>
      </c>
      <c r="O18" s="69">
        <f>IF(AND(H18&lt;&gt;"",H18&lt;TODAY(),E18&lt;&gt;"Client"),"Overdue","On track")</f>
        <v/>
      </c>
      <c r="P18" s="69" t="n"/>
      <c r="Q18" s="69" t="n"/>
      <c r="R18" s="69" t="inlineStr">
        <is>
          <t>Apollo+LinkedIn</t>
        </is>
      </c>
      <c r="S18" s="69" t="n"/>
    </row>
    <row r="19">
      <c r="A19" s="71" t="n">
        <v>18</v>
      </c>
      <c r="B19" s="71" t="inlineStr">
        <is>
          <t>FORTLEV</t>
        </is>
      </c>
      <c r="C19" s="71" t="inlineStr">
        <is>
          <t>Valdiney Soares</t>
        </is>
      </c>
      <c r="D19" s="71" t="inlineStr">
        <is>
          <t>Maintenance Leader</t>
        </is>
      </c>
      <c r="E19" s="71" t="inlineStr">
        <is>
          <t>New</t>
        </is>
      </c>
      <c r="F19" s="71" t="inlineStr">
        <is>
          <t>Medium</t>
        </is>
      </c>
      <c r="G19" s="72" t="n"/>
      <c r="H19" s="71" t="n"/>
      <c r="I19" s="71" t="inlineStr">
        <is>
          <t>No contact</t>
        </is>
      </c>
      <c r="N19" s="71" t="n"/>
      <c r="O19" s="71">
        <f>IF(AND(H19&lt;&gt;"",H19&lt;TODAY(),E19&lt;&gt;"Client"),"Overdue","On track")</f>
        <v/>
      </c>
      <c r="P19" s="71" t="n"/>
      <c r="Q19" s="71" t="n"/>
      <c r="R19" s="71" t="inlineStr">
        <is>
          <t>Apollo+LinkedIn</t>
        </is>
      </c>
      <c r="S19" s="71" t="n"/>
    </row>
    <row r="20">
      <c r="A20" s="69" t="n">
        <v>19</v>
      </c>
      <c r="B20" s="69" t="inlineStr">
        <is>
          <t>FORTLEV</t>
        </is>
      </c>
      <c r="C20" s="69" t="inlineStr">
        <is>
          <t>Luan Batista</t>
        </is>
      </c>
      <c r="D20" s="69" t="inlineStr">
        <is>
          <t>Maintenance Coordinator</t>
        </is>
      </c>
      <c r="E20" s="69" t="inlineStr">
        <is>
          <t>New</t>
        </is>
      </c>
      <c r="F20" s="69" t="inlineStr">
        <is>
          <t>Medium</t>
        </is>
      </c>
      <c r="G20" s="70" t="n"/>
      <c r="H20" s="69" t="n"/>
      <c r="I20" s="69" t="inlineStr">
        <is>
          <t>No contact</t>
        </is>
      </c>
      <c r="N20" s="69" t="inlineStr">
        <is>
          <t>Mechanical engineer — reliability</t>
        </is>
      </c>
      <c r="O20" s="69">
        <f>IF(AND(H20&lt;&gt;"",H20&lt;TODAY(),E20&lt;&gt;"Client"),"Overdue","On track")</f>
        <v/>
      </c>
      <c r="P20" s="69" t="n"/>
      <c r="Q20" s="69" t="n"/>
      <c r="R20" s="69" t="inlineStr">
        <is>
          <t>Apollo+LinkedIn</t>
        </is>
      </c>
      <c r="S20" s="69" t="n"/>
    </row>
    <row r="21">
      <c r="A21" s="71" t="n">
        <v>20</v>
      </c>
      <c r="B21" s="71" t="inlineStr">
        <is>
          <t>FORTLEV</t>
        </is>
      </c>
      <c r="C21" s="71" t="inlineStr">
        <is>
          <t>Arthur</t>
        </is>
      </c>
      <c r="D21" s="71" t="inlineStr">
        <is>
          <t>Junior PCM Analyst</t>
        </is>
      </c>
      <c r="E21" s="71" t="inlineStr">
        <is>
          <t>New</t>
        </is>
      </c>
      <c r="F21" s="71" t="inlineStr">
        <is>
          <t>Low</t>
        </is>
      </c>
      <c r="G21" s="72" t="n"/>
      <c r="H21" s="71" t="n"/>
      <c r="I21" s="71" t="inlineStr">
        <is>
          <t>No contact</t>
        </is>
      </c>
      <c r="N21" s="71" t="n"/>
      <c r="O21" s="71">
        <f>IF(AND(H21&lt;&gt;"",H21&lt;TODAY(),E21&lt;&gt;"Client"),"Overdue","On track")</f>
        <v/>
      </c>
      <c r="P21" s="71" t="n"/>
      <c r="Q21" s="71" t="n"/>
      <c r="R21" s="71" t="inlineStr">
        <is>
          <t>Apollo</t>
        </is>
      </c>
      <c r="S21" s="71" t="n"/>
    </row>
    <row r="22">
      <c r="A22" s="69" t="n">
        <v>21</v>
      </c>
      <c r="B22" s="69" t="inlineStr">
        <is>
          <t>FORTLEV</t>
        </is>
      </c>
      <c r="C22" s="69" t="inlineStr">
        <is>
          <t>Joao</t>
        </is>
      </c>
      <c r="D22" s="69" t="inlineStr">
        <is>
          <t>Maintenance Electrician</t>
        </is>
      </c>
      <c r="E22" s="69" t="inlineStr">
        <is>
          <t>New</t>
        </is>
      </c>
      <c r="F22" s="69" t="inlineStr">
        <is>
          <t>Low</t>
        </is>
      </c>
      <c r="G22" s="70" t="n"/>
      <c r="H22" s="69" t="n"/>
      <c r="I22" s="69" t="inlineStr">
        <is>
          <t>No contact</t>
        </is>
      </c>
      <c r="N22" s="69" t="n"/>
      <c r="O22" s="69">
        <f>IF(AND(H22&lt;&gt;"",H22&lt;TODAY(),E22&lt;&gt;"Client"),"Overdue","On track")</f>
        <v/>
      </c>
      <c r="P22" s="69" t="n"/>
      <c r="Q22" s="69" t="n"/>
      <c r="R22" s="69" t="inlineStr">
        <is>
          <t>Apollo</t>
        </is>
      </c>
      <c r="S22" s="69" t="n"/>
    </row>
    <row r="23">
      <c r="A23" s="71" t="n">
        <v>22</v>
      </c>
      <c r="B23" s="71" t="inlineStr">
        <is>
          <t>FORTLEV</t>
        </is>
      </c>
      <c r="C23" s="71" t="inlineStr">
        <is>
          <t>Gildasio Oliveira</t>
        </is>
      </c>
      <c r="D23" s="71" t="inlineStr">
        <is>
          <t>Industrial Maintenance Leader</t>
        </is>
      </c>
      <c r="E23" s="71" t="inlineStr">
        <is>
          <t>New</t>
        </is>
      </c>
      <c r="F23" s="71" t="inlineStr">
        <is>
          <t>Low</t>
        </is>
      </c>
      <c r="G23" s="72" t="n"/>
      <c r="H23" s="71" t="n"/>
      <c r="I23" s="71" t="inlineStr">
        <is>
          <t>No contact</t>
        </is>
      </c>
      <c r="N23" s="71" t="n"/>
      <c r="O23" s="71">
        <f>IF(AND(H23&lt;&gt;"",H23&lt;TODAY(),E23&lt;&gt;"Client"),"Overdue","On track")</f>
        <v/>
      </c>
      <c r="P23" s="71" t="inlineStr">
        <is>
          <t>Sim</t>
        </is>
      </c>
      <c r="Q23" s="71" t="n"/>
      <c r="R23" s="71" t="inlineStr">
        <is>
          <t>Apollo</t>
        </is>
      </c>
      <c r="S23" s="71" t="n"/>
    </row>
    <row r="24">
      <c r="A24" s="69" t="n">
        <v>23</v>
      </c>
      <c r="B24" s="69" t="inlineStr">
        <is>
          <t>FORTLEV</t>
        </is>
      </c>
      <c r="C24" s="69" t="inlineStr">
        <is>
          <t>Gildasio Oliveira</t>
        </is>
      </c>
      <c r="D24" s="69" t="inlineStr">
        <is>
          <t>Mechanical Maintenance Leader</t>
        </is>
      </c>
      <c r="E24" s="69" t="inlineStr">
        <is>
          <t>New</t>
        </is>
      </c>
      <c r="F24" s="69" t="inlineStr">
        <is>
          <t>Low</t>
        </is>
      </c>
      <c r="G24" s="70" t="n"/>
      <c r="H24" s="69" t="n"/>
      <c r="I24" s="69" t="inlineStr">
        <is>
          <t>No contact</t>
        </is>
      </c>
      <c r="N24" s="69" t="inlineStr">
        <is>
          <t>Possible duplicate — validate</t>
        </is>
      </c>
      <c r="O24" s="69">
        <f>IF(AND(H24&lt;&gt;"",H24&lt;TODAY(),E24&lt;&gt;"Client"),"Overdue","On track")</f>
        <v/>
      </c>
      <c r="P24" s="69" t="inlineStr">
        <is>
          <t>Sim</t>
        </is>
      </c>
      <c r="Q24" s="69" t="n"/>
      <c r="R24" s="69" t="inlineStr">
        <is>
          <t>Apollo</t>
        </is>
      </c>
      <c r="S24" s="69" t="n"/>
    </row>
    <row r="25">
      <c r="A25" s="71" t="n">
        <v>24</v>
      </c>
      <c r="B25" s="71" t="inlineStr">
        <is>
          <t>FORTLEV</t>
        </is>
      </c>
      <c r="C25" s="71" t="inlineStr">
        <is>
          <t>Filipe</t>
        </is>
      </c>
      <c r="D25" s="71" t="inlineStr">
        <is>
          <t>Storekeeper</t>
        </is>
      </c>
      <c r="E25" s="71" t="inlineStr">
        <is>
          <t>New</t>
        </is>
      </c>
      <c r="F25" s="71" t="inlineStr">
        <is>
          <t>Low</t>
        </is>
      </c>
      <c r="G25" s="72" t="n"/>
      <c r="H25" s="71" t="n"/>
      <c r="I25" s="71" t="inlineStr">
        <is>
          <t>No contact</t>
        </is>
      </c>
      <c r="N25" s="71" t="n"/>
      <c r="O25" s="71">
        <f>IF(AND(H25&lt;&gt;"",H25&lt;TODAY(),E25&lt;&gt;"Client"),"Overdue","On track")</f>
        <v/>
      </c>
      <c r="P25" s="71" t="n"/>
      <c r="Q25" s="71" t="n"/>
      <c r="R25" s="71" t="inlineStr">
        <is>
          <t>Apollo</t>
        </is>
      </c>
      <c r="S25" s="71" t="n"/>
    </row>
    <row r="26">
      <c r="A26" s="69" t="n">
        <v>25</v>
      </c>
      <c r="B26" s="69" t="inlineStr">
        <is>
          <t>FORTLEV</t>
        </is>
      </c>
      <c r="C26" s="69" t="inlineStr">
        <is>
          <t>Phillipp</t>
        </is>
      </c>
      <c r="D26" s="69" t="inlineStr">
        <is>
          <t>Storekeeper</t>
        </is>
      </c>
      <c r="E26" s="69" t="inlineStr">
        <is>
          <t>New</t>
        </is>
      </c>
      <c r="F26" s="69" t="inlineStr">
        <is>
          <t>Low</t>
        </is>
      </c>
      <c r="G26" s="70" t="n"/>
      <c r="H26" s="69" t="n"/>
      <c r="I26" s="69" t="inlineStr">
        <is>
          <t>No contact</t>
        </is>
      </c>
      <c r="N26" s="69" t="n"/>
      <c r="O26" s="69">
        <f>IF(AND(H26&lt;&gt;"",H26&lt;TODAY(),E26&lt;&gt;"Client"),"Overdue","On track")</f>
        <v/>
      </c>
      <c r="P26" s="69" t="n"/>
      <c r="Q26" s="69" t="n"/>
      <c r="R26" s="69" t="inlineStr">
        <is>
          <t>Apollo</t>
        </is>
      </c>
      <c r="S26" s="69" t="n"/>
    </row>
    <row r="27">
      <c r="A27" s="71" t="n">
        <v>26</v>
      </c>
      <c r="B27" s="71" t="inlineStr">
        <is>
          <t>FORTLEV</t>
        </is>
      </c>
      <c r="C27" s="71" t="inlineStr">
        <is>
          <t>Dioneson</t>
        </is>
      </c>
      <c r="D27" s="71" t="inlineStr">
        <is>
          <t>Storekeeper</t>
        </is>
      </c>
      <c r="E27" s="71" t="inlineStr">
        <is>
          <t>New</t>
        </is>
      </c>
      <c r="F27" s="71" t="inlineStr">
        <is>
          <t>Low</t>
        </is>
      </c>
      <c r="G27" s="72" t="n"/>
      <c r="H27" s="71" t="n"/>
      <c r="I27" s="71" t="inlineStr">
        <is>
          <t>No contact</t>
        </is>
      </c>
      <c r="N27" s="71" t="n"/>
      <c r="O27" s="71">
        <f>IF(AND(H27&lt;&gt;"",H27&lt;TODAY(),E27&lt;&gt;"Client"),"Overdue","On track")</f>
        <v/>
      </c>
      <c r="P27" s="71" t="n"/>
      <c r="Q27" s="71" t="n"/>
      <c r="R27" s="71" t="inlineStr">
        <is>
          <t>Apollo</t>
        </is>
      </c>
      <c r="S27" s="71" t="n"/>
    </row>
    <row r="28">
      <c r="A28" s="69" t="n">
        <v>27</v>
      </c>
      <c r="B28" s="69" t="inlineStr">
        <is>
          <t>AUTVIX</t>
        </is>
      </c>
      <c r="C28" s="69" t="inlineStr">
        <is>
          <t>Marcos Alberto Monfardini Filho</t>
        </is>
      </c>
      <c r="D28" s="69" t="inlineStr">
        <is>
          <t>Owner / Founder</t>
        </is>
      </c>
      <c r="E28" s="69" t="inlineStr">
        <is>
          <t>New</t>
        </is>
      </c>
      <c r="F28" s="69" t="inlineStr">
        <is>
          <t>High</t>
        </is>
      </c>
      <c r="G28" s="70" t="n"/>
      <c r="H28" s="69" t="n"/>
      <c r="I28" s="69" t="inlineStr">
        <is>
          <t>Email, Phone, LinkedIn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N28" s="69" t="inlineStr">
        <is>
          <t>Founder 2008 — 17 years, ~160 employees, R$9M revenue. Industrial automation, NR-10/12, SCADA. Gustavo Zatta is a direct connection → hot channel for the 1st meeting.</t>
        </is>
      </c>
      <c r="O28" s="69">
        <f>IF(AND(H28&lt;&gt;"",H28&lt;TODAY(),E28&lt;&gt;"Client"),"Overdue","On track")</f>
        <v/>
      </c>
      <c r="P28" s="69" t="n"/>
      <c r="Q28" s="69" t="n"/>
      <c r="R28" s="69" t="inlineStr">
        <is>
          <t>Apollo+LinkedIn</t>
        </is>
      </c>
      <c r="S28" s="69" t="n"/>
    </row>
    <row r="29">
      <c r="A29" s="71" t="n">
        <v>28</v>
      </c>
      <c r="B29" s="71" t="inlineStr">
        <is>
          <t>AUTVIX</t>
        </is>
      </c>
      <c r="C29" s="71" t="inlineStr">
        <is>
          <t>João Milton D. Neto</t>
        </is>
      </c>
      <c r="D29" s="71" t="inlineStr">
        <is>
          <t>Commercial Coordinator</t>
        </is>
      </c>
      <c r="E29" s="71" t="inlineStr">
        <is>
          <t>New</t>
        </is>
      </c>
      <c r="F29" s="71" t="inlineStr">
        <is>
          <t>High</t>
        </is>
      </c>
      <c r="G29" s="72" t="n"/>
      <c r="H29" s="71" t="n"/>
      <c r="I29" s="71" t="inlineStr">
        <is>
          <t>Email, LinkedIn</t>
        </is>
      </c>
      <c r="J29" t="inlineStr">
        <is>
          <t>Yes</t>
        </is>
      </c>
      <c r="L29" t="inlineStr">
        <is>
          <t>Yes</t>
        </is>
      </c>
      <c r="N29" s="71" t="inlineStr">
        <is>
          <t>Electrical Engineering + MBA Maintenance Management. Autvix commercial entry point. Gustavo has a direct connection — use it as a warm intro.</t>
        </is>
      </c>
      <c r="O29" s="71">
        <f>IF(AND(H29&lt;&gt;"",H29&lt;TODAY(),E29&lt;&gt;"Client"),"Overdue","On track")</f>
        <v/>
      </c>
      <c r="P29" s="71" t="n"/>
      <c r="Q29" s="71" t="n"/>
      <c r="R29" s="71" t="inlineStr">
        <is>
          <t>Apollo+LinkedIn</t>
        </is>
      </c>
      <c r="S29" s="71" t="n"/>
    </row>
    <row r="30">
      <c r="A30" s="69" t="n">
        <v>29</v>
      </c>
      <c r="B30" s="69" t="inlineStr">
        <is>
          <t>AUTVIX</t>
        </is>
      </c>
      <c r="C30" s="69" t="inlineStr">
        <is>
          <t>Talyson R. Libardi</t>
        </is>
      </c>
      <c r="D30" s="69" t="inlineStr">
        <is>
          <t>Electrical Engineer — Specialist NR-12</t>
        </is>
      </c>
      <c r="E30" s="69" t="inlineStr">
        <is>
          <t>New</t>
        </is>
      </c>
      <c r="F30" s="69" t="inlineStr">
        <is>
          <t>High</t>
        </is>
      </c>
      <c r="G30" s="70" t="n"/>
      <c r="H30" s="69" t="n"/>
      <c r="I30" s="69" t="inlineStr">
        <is>
          <t>No contact</t>
        </is>
      </c>
      <c r="N30" s="69" t="inlineStr">
        <is>
          <t>CMSE® — machine maintenance + safety. Ideal technical profile for Functional Safety and Man Power Support in NR-12 projects.</t>
        </is>
      </c>
      <c r="O30" s="69">
        <f>IF(AND(H30&lt;&gt;"",H30&lt;TODAY(),E30&lt;&gt;"Client"),"Overdue","On track")</f>
        <v/>
      </c>
      <c r="P30" s="69" t="n"/>
      <c r="Q30" s="69" t="n"/>
      <c r="R30" s="69" t="inlineStr">
        <is>
          <t>LinkedIn</t>
        </is>
      </c>
      <c r="S30" s="69" t="n"/>
    </row>
    <row r="31">
      <c r="A31" s="71" t="n">
        <v>30</v>
      </c>
      <c r="B31" s="71" t="inlineStr">
        <is>
          <t>AUTVIX</t>
        </is>
      </c>
      <c r="C31" s="71" t="inlineStr">
        <is>
          <t>Rafael Silveira</t>
        </is>
      </c>
      <c r="D31" s="71" t="inlineStr">
        <is>
          <t>Project Coordinator</t>
        </is>
      </c>
      <c r="E31" s="71" t="inlineStr">
        <is>
          <t>New</t>
        </is>
      </c>
      <c r="F31" s="71" t="inlineStr">
        <is>
          <t>High</t>
        </is>
      </c>
      <c r="G31" s="72" t="n"/>
      <c r="H31" s="71" t="n"/>
      <c r="I31" s="71" t="inlineStr">
        <is>
          <t>No contact</t>
        </is>
      </c>
      <c r="N31" s="71" t="inlineStr">
        <is>
          <t>Machine Safety Specialist, NR-12, Risk Management, Project Coordination. 18 common connections. High adhesion for Functional Safety and Projects.</t>
        </is>
      </c>
      <c r="O31" s="71">
        <f>IF(AND(H31&lt;&gt;"",H31&lt;TODAY(),E31&lt;&gt;"Client"),"Overdue","On track")</f>
        <v/>
      </c>
      <c r="P31" s="71" t="n"/>
      <c r="Q31" s="71" t="n"/>
      <c r="R31" s="71" t="inlineStr">
        <is>
          <t>LinkedIn</t>
        </is>
      </c>
      <c r="S31" s="71" t="n"/>
    </row>
    <row r="32">
      <c r="A32" s="69" t="n">
        <v>31</v>
      </c>
      <c r="B32" s="69" t="inlineStr">
        <is>
          <t>AUTVIX</t>
        </is>
      </c>
      <c r="C32" s="69" t="inlineStr">
        <is>
          <t>Marcus Stefano Bontia</t>
        </is>
      </c>
      <c r="D32" s="69" t="inlineStr">
        <is>
          <t>Project Coordinator</t>
        </is>
      </c>
      <c r="E32" s="69" t="inlineStr">
        <is>
          <t>New</t>
        </is>
      </c>
      <c r="F32" s="69" t="inlineStr">
        <is>
          <t>Medium</t>
        </is>
      </c>
      <c r="G32" s="70" t="n"/>
      <c r="H32" s="69" t="n"/>
      <c r="I32" s="69" t="inlineStr">
        <is>
          <t>No contact</t>
        </is>
      </c>
      <c r="N32" s="69" t="inlineStr">
        <is>
          <t>1k followers. Coordination of industrial projects at Autvix. Approach for Man Power Support and Projects.</t>
        </is>
      </c>
      <c r="O32" s="69">
        <f>IF(AND(H32&lt;&gt;"",H32&lt;TODAY(),E32&lt;&gt;"Client"),"Overdue","On track")</f>
        <v/>
      </c>
      <c r="P32" s="69" t="n"/>
      <c r="Q32" s="69" t="n"/>
      <c r="R32" s="69" t="inlineStr">
        <is>
          <t>LinkedIn</t>
        </is>
      </c>
      <c r="S32" s="69" t="n"/>
    </row>
    <row r="33">
      <c r="A33" s="71" t="n">
        <v>32</v>
      </c>
      <c r="B33" s="71" t="inlineStr">
        <is>
          <t>AUTVIX</t>
        </is>
      </c>
      <c r="C33" s="71" t="inlineStr">
        <is>
          <t>Thales Sperandio</t>
        </is>
      </c>
      <c r="D33" s="71" t="inlineStr">
        <is>
          <t>Supply and Controlling Coordinator</t>
        </is>
      </c>
      <c r="E33" s="71" t="inlineStr">
        <is>
          <t>New</t>
        </is>
      </c>
      <c r="F33" s="71" t="inlineStr">
        <is>
          <t>Medium</t>
        </is>
      </c>
      <c r="G33" s="72" t="n"/>
      <c r="H33" s="71" t="n"/>
      <c r="I33" s="71" t="inlineStr">
        <is>
          <t>No contact</t>
        </is>
      </c>
      <c r="N33" s="71" t="inlineStr">
        <is>
          <t>Supplies and controllership. Engineering services purchasing angle.</t>
        </is>
      </c>
      <c r="O33" s="71">
        <f>IF(AND(H33&lt;&gt;"",H33&lt;TODAY(),E33&lt;&gt;"Client"),"Overdue","On track")</f>
        <v/>
      </c>
      <c r="P33" s="71" t="n"/>
      <c r="Q33" s="71" t="n"/>
      <c r="R33" s="71" t="inlineStr">
        <is>
          <t>LinkedIn</t>
        </is>
      </c>
      <c r="S33" s="71" t="n"/>
    </row>
    <row r="34">
      <c r="A34" s="69" t="n">
        <v>33</v>
      </c>
      <c r="B34" s="69" t="inlineStr">
        <is>
          <t>AUTVIX</t>
        </is>
      </c>
      <c r="C34" s="69" t="inlineStr">
        <is>
          <t>Thaiany Antunes</t>
        </is>
      </c>
      <c r="D34" s="69" t="inlineStr">
        <is>
          <t>Full Planning Analyst III</t>
        </is>
      </c>
      <c r="E34" s="69" t="inlineStr">
        <is>
          <t>New</t>
        </is>
      </c>
      <c r="F34" s="69" t="inlineStr">
        <is>
          <t>Medium</t>
        </is>
      </c>
      <c r="G34" s="70" t="n"/>
      <c r="H34" s="69" t="n"/>
      <c r="I34" s="69" t="inlineStr">
        <is>
          <t>No contact</t>
        </is>
      </c>
      <c r="N34" s="69" t="inlineStr">
        <is>
          <t>Planning, Management, Projects, Contracts, Quality, Auditing. Connection with Gustavo Rodrigues (in common).</t>
        </is>
      </c>
      <c r="O34" s="69">
        <f>IF(AND(H34&lt;&gt;"",H34&lt;TODAY(),E34&lt;&gt;"Client"),"Overdue","On track")</f>
        <v/>
      </c>
      <c r="P34" s="69" t="n"/>
      <c r="Q34" s="69" t="n"/>
      <c r="R34" s="69" t="inlineStr">
        <is>
          <t>LinkedIn</t>
        </is>
      </c>
      <c r="S34" s="69" t="n"/>
    </row>
    <row r="35">
      <c r="A35" s="71" t="n">
        <v>34</v>
      </c>
      <c r="B35" s="71" t="inlineStr">
        <is>
          <t>AUTVIX</t>
        </is>
      </c>
      <c r="C35" s="71" t="inlineStr">
        <is>
          <t>Krystyan Lourenço da Silva</t>
        </is>
      </c>
      <c r="D35" s="71" t="inlineStr">
        <is>
          <t>Industrial Automation Assistant</t>
        </is>
      </c>
      <c r="E35" s="71" t="inlineStr">
        <is>
          <t>New</t>
        </is>
      </c>
      <c r="F35" s="71" t="inlineStr">
        <is>
          <t>Low</t>
        </is>
      </c>
      <c r="G35" s="72" t="n"/>
      <c r="H35" s="71" t="n"/>
      <c r="I35" s="71" t="inlineStr">
        <is>
          <t>No contact</t>
        </is>
      </c>
      <c r="N35" s="71" t="inlineStr">
        <is>
          <t>Industrial automation technician. Operating profile — grip for Man Power Support.</t>
        </is>
      </c>
      <c r="O35" s="71">
        <f>IF(AND(H35&lt;&gt;"",H35&lt;TODAY(),E35&lt;&gt;"Client"),"Overdue","On track")</f>
        <v/>
      </c>
      <c r="P35" s="71" t="n"/>
      <c r="Q35" s="71" t="n"/>
      <c r="R35" s="71" t="inlineStr">
        <is>
          <t>LinkedIn</t>
        </is>
      </c>
      <c r="S35" s="71" t="n"/>
    </row>
    <row r="36">
      <c r="A36" s="69" t="n">
        <v>35</v>
      </c>
      <c r="B36" s="69" t="inlineStr">
        <is>
          <t>AUTVIX</t>
        </is>
      </c>
      <c r="C36" s="69" t="inlineStr">
        <is>
          <t>Raiane Alves Milanez</t>
        </is>
      </c>
      <c r="D36" s="69" t="inlineStr">
        <is>
          <t>Administrative Analyst</t>
        </is>
      </c>
      <c r="E36" s="69" t="inlineStr">
        <is>
          <t>New</t>
        </is>
      </c>
      <c r="F36" s="69" t="inlineStr">
        <is>
          <t>Low</t>
        </is>
      </c>
      <c r="G36" s="70" t="n"/>
      <c r="H36" s="69" t="n"/>
      <c r="I36" s="69" t="inlineStr">
        <is>
          <t>No contact</t>
        </is>
      </c>
      <c r="N36" s="69" t="inlineStr">
        <is>
          <t>Administrative and accountability analyst. Less adhesion with ICP Apeiron.</t>
        </is>
      </c>
      <c r="O36" s="69">
        <f>IF(AND(H36&lt;&gt;"",H36&lt;TODAY(),E36&lt;&gt;"Client"),"Overdue","On track")</f>
        <v/>
      </c>
      <c r="P36" s="69" t="n"/>
      <c r="Q36" s="69" t="n"/>
      <c r="R36" s="69" t="inlineStr">
        <is>
          <t>LinkedIn</t>
        </is>
      </c>
      <c r="S36" s="69" t="n"/>
    </row>
    <row r="37">
      <c r="A37" s="71" t="n">
        <v>36</v>
      </c>
      <c r="B37" s="71" t="inlineStr">
        <is>
          <t>SAMARCO</t>
        </is>
      </c>
      <c r="C37" s="71" t="inlineStr">
        <is>
          <t>Hilcker Scopel</t>
        </is>
      </c>
      <c r="D37" s="71" t="inlineStr">
        <is>
          <t>Maintenance Coordinator</t>
        </is>
      </c>
      <c r="E37" s="71" t="inlineStr">
        <is>
          <t>New</t>
        </is>
      </c>
      <c r="F37" s="71" t="inlineStr">
        <is>
          <t>High</t>
        </is>
      </c>
      <c r="G37" s="72" t="n"/>
      <c r="H37" s="71" t="n"/>
      <c r="I37" s="71" t="inlineStr">
        <is>
          <t>Email, Phone, LinkedIn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N37" s="71" t="inlineStr">
        <is>
          <t>Coord. Maintenance (2025). Before: Eng. Reliability for 6 years. Samarco hub Ubu/Anchieta — major demander for industrial services. High adhesion.</t>
        </is>
      </c>
      <c r="O37" s="71">
        <f>IF(AND(H37&lt;&gt;"",H37&lt;TODAY(),E37&lt;&gt;"Client"),"Overdue","On track")</f>
        <v/>
      </c>
      <c r="P37" s="71" t="n"/>
      <c r="Q37" s="71" t="n"/>
      <c r="R37" s="71" t="inlineStr">
        <is>
          <t>Apollo+LinkedIn</t>
        </is>
      </c>
      <c r="S37" s="71" t="n"/>
    </row>
    <row r="38">
      <c r="A38" s="69" t="n">
        <v>37</v>
      </c>
      <c r="B38" s="69" t="inlineStr">
        <is>
          <t>SAMARCO</t>
        </is>
      </c>
      <c r="C38" s="69" t="inlineStr">
        <is>
          <t>Pedro Vieira</t>
        </is>
      </c>
      <c r="D38" s="69" t="inlineStr">
        <is>
          <t>Maintenance Coordinator</t>
        </is>
      </c>
      <c r="E38" s="69" t="inlineStr">
        <is>
          <t>New</t>
        </is>
      </c>
      <c r="F38" s="69" t="inlineStr">
        <is>
          <t>High</t>
        </is>
      </c>
      <c r="G38" s="70" t="n"/>
      <c r="H38" s="69" t="n"/>
      <c r="I38" s="69" t="inlineStr">
        <is>
          <t>Email, Phone, LinkedIn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N38" s="69" t="inlineStr">
        <is>
          <t>Coord. Maintenance since 2021. Background on pelletization process. Operational decision-maker with a track record of 10+ years at Samarco.</t>
        </is>
      </c>
      <c r="O38" s="69">
        <f>IF(AND(H38&lt;&gt;"",H38&lt;TODAY(),E38&lt;&gt;"Client"),"Overdue","On track")</f>
        <v/>
      </c>
      <c r="P38" s="69" t="n"/>
      <c r="Q38" s="69" t="n"/>
      <c r="R38" s="69" t="inlineStr">
        <is>
          <t>Apollo+LinkedIn</t>
        </is>
      </c>
      <c r="S38" s="69" t="n"/>
    </row>
    <row r="39">
      <c r="A39" s="71" t="n">
        <v>38</v>
      </c>
      <c r="B39" s="71" t="inlineStr">
        <is>
          <t>SAMARCO</t>
        </is>
      </c>
      <c r="C39" s="71" t="inlineStr">
        <is>
          <t>Alexandre Kahowec</t>
        </is>
      </c>
      <c r="D39" s="71" t="inlineStr">
        <is>
          <t>Automation and Infrastructure Eng.</t>
        </is>
      </c>
      <c r="E39" s="71" t="inlineStr">
        <is>
          <t>New</t>
        </is>
      </c>
      <c r="F39" s="71" t="inlineStr">
        <is>
          <t>High</t>
        </is>
      </c>
      <c r="G39" s="72" t="n"/>
      <c r="H39" s="71" t="n"/>
      <c r="I39" s="71" t="inlineStr">
        <is>
          <t>Email, Phone, LinkedIn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N39" s="71" t="inlineStr">
        <is>
          <t>Automation and Infrastructure Eng. (2020). Previously at MCA Auditoria and EPC Engenharia. Ideal technical profile for automation and Functional Safety projects.</t>
        </is>
      </c>
      <c r="O39" s="71">
        <f>IF(AND(H39&lt;&gt;"",H39&lt;TODAY(),E39&lt;&gt;"Client"),"Overdue","On track")</f>
        <v/>
      </c>
      <c r="P39" s="71" t="n"/>
      <c r="Q39" s="71" t="n"/>
      <c r="R39" s="71" t="inlineStr">
        <is>
          <t>Apollo+LinkedIn</t>
        </is>
      </c>
      <c r="S39" s="71" t="n"/>
    </row>
    <row r="40">
      <c r="A40" s="69" t="n">
        <v>39</v>
      </c>
      <c r="B40" s="69" t="inlineStr">
        <is>
          <t>SAMARCO</t>
        </is>
      </c>
      <c r="C40" s="69" t="inlineStr">
        <is>
          <t>Alexandre Junior</t>
        </is>
      </c>
      <c r="D40" s="69" t="inlineStr">
        <is>
          <t>Automation Specialist Technician</t>
        </is>
      </c>
      <c r="E40" s="69" t="inlineStr">
        <is>
          <t>New</t>
        </is>
      </c>
      <c r="F40" s="69" t="inlineStr">
        <is>
          <t>Medium</t>
        </is>
      </c>
      <c r="G40" s="70" t="n"/>
      <c r="H40" s="69" t="n"/>
      <c r="I40" s="69" t="inlineStr">
        <is>
          <t>Email, Phone, LinkedIn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N40" s="69" t="inlineStr">
        <is>
          <t>Automation Specialist (2022) and SR Automation Technician for 10 years previously. Operational technical profile — adherence to Man Power Support and Automation Projects.</t>
        </is>
      </c>
      <c r="O40" s="69">
        <f>IF(AND(H40&lt;&gt;"",H40&lt;TODAY(),E40&lt;&gt;"Client"),"Overdue","On track")</f>
        <v/>
      </c>
      <c r="P40" s="69" t="n"/>
      <c r="Q40" s="69" t="n"/>
      <c r="R40" s="69" t="inlineStr">
        <is>
          <t>Apollo+LinkedIn</t>
        </is>
      </c>
      <c r="S40" s="69" t="n"/>
    </row>
    <row r="41">
      <c r="A41" s="71" t="n">
        <v>44</v>
      </c>
      <c r="B41" s="71" t="inlineStr">
        <is>
          <t>LHOIST</t>
        </is>
      </c>
      <c r="C41" s="71" t="inlineStr">
        <is>
          <t>Carlos Rocha</t>
        </is>
      </c>
      <c r="D41" s="71" t="inlineStr">
        <is>
          <t>Industrial Maintenance Coordinator</t>
        </is>
      </c>
      <c r="E41" s="71" t="inlineStr">
        <is>
          <t>New</t>
        </is>
      </c>
      <c r="F41" s="71" t="inlineStr">
        <is>
          <t>High</t>
        </is>
      </c>
      <c r="G41" s="72" t="n"/>
      <c r="H41" s="71" t="n"/>
      <c r="I41" s="71" t="inlineStr">
        <is>
          <t>Email, LinkedIn</t>
        </is>
      </c>
      <c r="J41" t="inlineStr">
        <is>
          <t>Yes</t>
        </is>
      </c>
      <c r="L41" t="inlineStr">
        <is>
          <t>Yes</t>
        </is>
      </c>
      <c r="N41" s="71" t="inlineStr">
        <is>
          <t>Coord. Industrial Maintenance (2022). Before Coord. Electrical/Automation (2015-2021) and Project Engineer (2006-2015). 26 years in total at Lhoist. Key hiring influencer.</t>
        </is>
      </c>
      <c r="O41" s="71">
        <f>IF(AND(H41&lt;&gt;"",H41&lt;TODAY(),E41&lt;&gt;"Client"),"Overdue","On track")</f>
        <v/>
      </c>
      <c r="P41" s="71" t="n"/>
      <c r="Q41" s="71" t="n"/>
      <c r="R41" s="71" t="inlineStr">
        <is>
          <t>Apollo+LinkedIn</t>
        </is>
      </c>
      <c r="S41" s="71" t="n"/>
    </row>
    <row r="42">
      <c r="A42" s="69" t="n">
        <v>45</v>
      </c>
      <c r="B42" s="69" t="inlineStr">
        <is>
          <t>LHOIST</t>
        </is>
      </c>
      <c r="C42" s="69" t="inlineStr">
        <is>
          <t>Celes Junior</t>
        </is>
      </c>
      <c r="D42" s="69" t="inlineStr">
        <is>
          <t>Maintenance Coordinator</t>
        </is>
      </c>
      <c r="E42" s="69" t="inlineStr">
        <is>
          <t>New</t>
        </is>
      </c>
      <c r="F42" s="69" t="inlineStr">
        <is>
          <t>High</t>
        </is>
      </c>
      <c r="G42" s="70" t="n"/>
      <c r="H42" s="69" t="n"/>
      <c r="I42" s="69" t="inlineStr">
        <is>
          <t>Email, LinkedIn</t>
        </is>
      </c>
      <c r="J42" t="inlineStr">
        <is>
          <t>Yes</t>
        </is>
      </c>
      <c r="L42" t="inlineStr">
        <is>
          <t>Yes</t>
        </is>
      </c>
      <c r="N42" s="69" t="inlineStr">
        <is>
          <t>Coord. Maintenance at Lhoist, Vila Velha. Same level as Carlos Rocha. Approach in parallel to reinforce presence. Industrial maintenance adherence.</t>
        </is>
      </c>
      <c r="O42" s="69">
        <f>IF(AND(H42&lt;&gt;"",H42&lt;TODAY(),E42&lt;&gt;"Client"),"Overdue","On track")</f>
        <v/>
      </c>
      <c r="P42" s="69" t="n"/>
      <c r="Q42" s="69" t="n"/>
      <c r="R42" s="69" t="inlineStr">
        <is>
          <t>Apollo+LinkedIn</t>
        </is>
      </c>
      <c r="S42" s="69" t="n"/>
    </row>
    <row r="43">
      <c r="A43" s="71" t="n">
        <v>46</v>
      </c>
      <c r="B43" s="71" t="inlineStr">
        <is>
          <t>IMETAME</t>
        </is>
      </c>
      <c r="C43" s="71" t="inlineStr">
        <is>
          <t>Ezequiel Castilhoni</t>
        </is>
      </c>
      <c r="D43" s="71" t="inlineStr">
        <is>
          <t>Industrial Project Coordinator</t>
        </is>
      </c>
      <c r="E43" s="71" t="inlineStr">
        <is>
          <t>New</t>
        </is>
      </c>
      <c r="F43" s="71" t="inlineStr">
        <is>
          <t>High</t>
        </is>
      </c>
      <c r="G43" s="72" t="n"/>
      <c r="H43" s="71" t="n"/>
      <c r="I43" s="71" t="inlineStr">
        <is>
          <t>Phone, LinkedIn</t>
        </is>
      </c>
      <c r="K43" t="inlineStr">
        <is>
          <t>Yes</t>
        </is>
      </c>
      <c r="L43" t="inlineStr">
        <is>
          <t>Yes</t>
        </is>
      </c>
      <c r="N43" s="71" t="inlineStr">
        <is>
          <t>Coord. Industrial Projects since 2019 (former Imetame trainee 2016). Background: CAPEX, construction and assembly, planning. Imetame operates in O&amp;G, mining, energy — high adherence for Projects and Man Power Support.</t>
        </is>
      </c>
      <c r="O43" s="71">
        <f>IF(AND(H43&lt;&gt;"",H43&lt;TODAY(),E43&lt;&gt;"Client"),"Overdue","On track")</f>
        <v/>
      </c>
      <c r="P43" s="71" t="n"/>
      <c r="Q43" s="71" t="n"/>
      <c r="R43" s="71" t="inlineStr">
        <is>
          <t>LinkedIn</t>
        </is>
      </c>
      <c r="S43" s="71" t="n"/>
    </row>
    <row r="44">
      <c r="A44" s="69" t="n">
        <v>47</v>
      </c>
      <c r="B44" s="69" t="inlineStr">
        <is>
          <t>QUANT SERVICE</t>
        </is>
      </c>
      <c r="C44" s="69" t="inlineStr">
        <is>
          <t>Igor Barbosa</t>
        </is>
      </c>
      <c r="D44" s="69" t="inlineStr">
        <is>
          <t>Industrial Maintenance / Facilities Manager</t>
        </is>
      </c>
      <c r="E44" s="69" t="inlineStr">
        <is>
          <t>New</t>
        </is>
      </c>
      <c r="F44" s="69" t="inlineStr">
        <is>
          <t>High</t>
        </is>
      </c>
      <c r="G44" s="70" t="n"/>
      <c r="H44" s="69" t="n"/>
      <c r="I44" s="69" t="inlineStr">
        <is>
          <t>Email, LinkedIn</t>
        </is>
      </c>
      <c r="J44" t="inlineStr">
        <is>
          <t>Yes</t>
        </is>
      </c>
      <c r="L44" t="inlineStr">
        <is>
          <t>Yes</t>
        </is>
      </c>
      <c r="N44" s="69" t="inlineStr">
        <is>
          <t>Industrial Maintenance/Facilities Manager at Quant (2022). Before: Babcock Int. Brasil (Maintenance Management 2018-2020) and ÁLAMO Engenharia (8 years). Quant is a maintenance outsourcing company — potential partner and channel for end customers.</t>
        </is>
      </c>
      <c r="O44" s="69">
        <f>IF(AND(H44&lt;&gt;"",H44&lt;TODAY(),E44&lt;&gt;"Client"),"Overdue","On track")</f>
        <v/>
      </c>
      <c r="P44" s="69" t="n"/>
      <c r="Q44" s="69" t="n"/>
      <c r="R44" s="69" t="inlineStr">
        <is>
          <t>Apollo+LinkedIn</t>
        </is>
      </c>
      <c r="S44" s="69" t="n"/>
    </row>
    <row r="45">
      <c r="A45" s="71" t="n">
        <v>48</v>
      </c>
      <c r="B45" s="71" t="inlineStr">
        <is>
          <t>FORTLEV SOLAR</t>
        </is>
      </c>
      <c r="C45" s="71" t="inlineStr">
        <is>
          <t>Eduardo Nascimento</t>
        </is>
      </c>
      <c r="D45" s="71" t="inlineStr">
        <is>
          <t>Engineering Manager</t>
        </is>
      </c>
      <c r="E45" s="71" t="inlineStr">
        <is>
          <t>New</t>
        </is>
      </c>
      <c r="F45" s="71" t="inlineStr">
        <is>
          <t>High</t>
        </is>
      </c>
      <c r="G45" s="72" t="n"/>
      <c r="H45" s="71" t="n"/>
      <c r="I45" s="71" t="inlineStr">
        <is>
          <t>Email, LinkedIn</t>
        </is>
      </c>
      <c r="J45" t="inlineStr">
        <is>
          <t>Yes</t>
        </is>
      </c>
      <c r="L45" t="inlineStr">
        <is>
          <t>Yes</t>
        </is>
      </c>
      <c r="N45" s="71" t="inlineStr">
        <is>
          <t>Lucas</t>
        </is>
      </c>
      <c r="O45" s="71">
        <f>IF(AND(H45&lt;&gt;"",H45&lt;TODAY(),E45&lt;&gt;"Client"),"Overdue","On track")</f>
        <v/>
      </c>
      <c r="P45" s="71" t="n"/>
      <c r="Q45" s="71" t="n"/>
      <c r="R45" s="71" t="inlineStr">
        <is>
          <t>Apollo+LinkedIn</t>
        </is>
      </c>
      <c r="S45" s="71" t="n"/>
    </row>
    <row r="46">
      <c r="A46" s="69" t="n">
        <v>49</v>
      </c>
      <c r="B46" s="69" t="inlineStr">
        <is>
          <t>FORTLEV SOLAR</t>
        </is>
      </c>
      <c r="C46" s="69" t="inlineStr">
        <is>
          <t>Diogo Dallapicula</t>
        </is>
      </c>
      <c r="D46" s="69" t="inlineStr">
        <is>
          <t>Engineering Coordinator</t>
        </is>
      </c>
      <c r="E46" s="69" t="inlineStr">
        <is>
          <t>New</t>
        </is>
      </c>
      <c r="F46" s="69" t="inlineStr">
        <is>
          <t>High</t>
        </is>
      </c>
      <c r="G46" s="70" t="n"/>
      <c r="H46" s="69" t="n"/>
      <c r="I46" s="69" t="inlineStr">
        <is>
          <t>Email, LinkedIn</t>
        </is>
      </c>
      <c r="J46" t="inlineStr">
        <is>
          <t>Yes</t>
        </is>
      </c>
      <c r="L46" t="inlineStr">
        <is>
          <t>Yes</t>
        </is>
      </c>
      <c r="N46" s="69" t="inlineStr">
        <is>
          <t>Lucas</t>
        </is>
      </c>
      <c r="O46" s="69">
        <f>IF(AND(H46&lt;&gt;"",H46&lt;TODAY(),E46&lt;&gt;"Client"),"Overdue","On track")</f>
        <v/>
      </c>
      <c r="P46" s="69" t="n"/>
      <c r="Q46" s="69" t="n"/>
      <c r="R46" s="69" t="inlineStr">
        <is>
          <t>Apollo+LinkedIn</t>
        </is>
      </c>
      <c r="S46" s="69" t="n"/>
    </row>
    <row r="47">
      <c r="A47" s="71" t="n">
        <v>50</v>
      </c>
      <c r="B47" s="71" t="inlineStr">
        <is>
          <t>TRIGOMAIS</t>
        </is>
      </c>
      <c r="C47" s="71" t="inlineStr">
        <is>
          <t>Abraao Dantas</t>
        </is>
      </c>
      <c r="D47" s="71" t="inlineStr">
        <is>
          <t>Managing Partner</t>
        </is>
      </c>
      <c r="E47" s="71" t="inlineStr">
        <is>
          <t>New</t>
        </is>
      </c>
      <c r="F47" s="71" t="inlineStr">
        <is>
          <t>High</t>
        </is>
      </c>
      <c r="G47" s="72" t="n"/>
      <c r="H47" s="71" t="n"/>
      <c r="I47" s="71" t="inlineStr">
        <is>
          <t>Phone, LinkedIn</t>
        </is>
      </c>
      <c r="K47" t="inlineStr">
        <is>
          <t>Yes</t>
        </is>
      </c>
      <c r="L47" t="inlineStr">
        <is>
          <t>Yes</t>
        </is>
      </c>
      <c r="N47" s="71" t="inlineStr">
        <is>
          <t>Lucas</t>
        </is>
      </c>
      <c r="O47" s="71">
        <f>IF(AND(H47&lt;&gt;"",H47&lt;TODAY(),E47&lt;&gt;"Client"),"Overdue","On track")</f>
        <v/>
      </c>
      <c r="P47" s="71" t="n"/>
      <c r="Q47" s="71" t="n"/>
      <c r="R47" s="71" t="inlineStr">
        <is>
          <t>Apollo+LinkedIn</t>
        </is>
      </c>
      <c r="S47" s="71" t="n"/>
    </row>
    <row r="48">
      <c r="A48" s="69" t="n">
        <v>51</v>
      </c>
      <c r="B48" s="69" t="inlineStr">
        <is>
          <t>TRIGOMAIS</t>
        </is>
      </c>
      <c r="C48" s="69" t="inlineStr">
        <is>
          <t>Paulo Sergio</t>
        </is>
      </c>
      <c r="D48" s="69" t="inlineStr">
        <is>
          <t>TEC Supervisor</t>
        </is>
      </c>
      <c r="E48" s="69" t="inlineStr">
        <is>
          <t>New</t>
        </is>
      </c>
      <c r="F48" s="69" t="inlineStr">
        <is>
          <t>Medium</t>
        </is>
      </c>
      <c r="G48" s="70" t="n"/>
      <c r="H48" s="69" t="n"/>
      <c r="I48" s="69" t="inlineStr">
        <is>
          <t>Phone, LinkedIn</t>
        </is>
      </c>
      <c r="K48" t="inlineStr">
        <is>
          <t>Yes</t>
        </is>
      </c>
      <c r="L48" t="inlineStr">
        <is>
          <t>Yes</t>
        </is>
      </c>
      <c r="N48" s="69" t="inlineStr">
        <is>
          <t>Lucas</t>
        </is>
      </c>
      <c r="O48" s="69">
        <f>IF(AND(H48&lt;&gt;"",H48&lt;TODAY(),E48&lt;&gt;"Client"),"Overdue","On track")</f>
        <v/>
      </c>
      <c r="P48" s="69" t="n"/>
      <c r="Q48" s="69" t="n"/>
      <c r="R48" s="69" t="inlineStr">
        <is>
          <t>Apollo+LinkedIn</t>
        </is>
      </c>
      <c r="S48" s="69" t="n"/>
    </row>
    <row r="49">
      <c r="A49" s="71" t="n">
        <v>52</v>
      </c>
      <c r="B49" s="71" t="inlineStr">
        <is>
          <t>BRASIGRAN</t>
        </is>
      </c>
      <c r="C49" s="71" t="inlineStr">
        <is>
          <t>Onair Brasigran</t>
        </is>
      </c>
      <c r="D49" s="71" t="inlineStr">
        <is>
          <t>Maintenance Supervisor</t>
        </is>
      </c>
      <c r="E49" s="71" t="inlineStr">
        <is>
          <t>New</t>
        </is>
      </c>
      <c r="F49" s="71" t="inlineStr">
        <is>
          <t>High</t>
        </is>
      </c>
      <c r="G49" s="72" t="n"/>
      <c r="H49" s="71" t="n"/>
      <c r="I49" s="71" t="inlineStr">
        <is>
          <t>LinkedIn</t>
        </is>
      </c>
      <c r="L49" t="inlineStr">
        <is>
          <t>Yes</t>
        </is>
      </c>
      <c r="N49" s="71" t="inlineStr">
        <is>
          <t>Lucas</t>
        </is>
      </c>
      <c r="O49" s="71">
        <f>IF(AND(H49&lt;&gt;"",H49&lt;TODAY(),E49&lt;&gt;"Client"),"Overdue","On track")</f>
        <v/>
      </c>
      <c r="P49" s="71" t="n"/>
      <c r="Q49" s="71" t="n"/>
      <c r="R49" s="71" t="inlineStr">
        <is>
          <t>Apollo+LinkedIn</t>
        </is>
      </c>
      <c r="S49" s="71" t="n"/>
    </row>
    <row r="50">
      <c r="A50" s="69" t="n">
        <v>53</v>
      </c>
      <c r="B50" s="69" t="inlineStr">
        <is>
          <t>BRASIGRAN</t>
        </is>
      </c>
      <c r="C50" s="69" t="inlineStr">
        <is>
          <t>Samuel Araujo</t>
        </is>
      </c>
      <c r="D50" s="69" t="inlineStr">
        <is>
          <t>Head of Innovation Projects</t>
        </is>
      </c>
      <c r="E50" s="69" t="inlineStr">
        <is>
          <t>New</t>
        </is>
      </c>
      <c r="F50" s="69" t="inlineStr">
        <is>
          <t>High</t>
        </is>
      </c>
      <c r="G50" s="70" t="n"/>
      <c r="H50" s="69" t="n"/>
      <c r="I50" s="69" t="inlineStr">
        <is>
          <t>Email, LinkedIn</t>
        </is>
      </c>
      <c r="J50" t="inlineStr">
        <is>
          <t>Yes</t>
        </is>
      </c>
      <c r="L50" t="inlineStr">
        <is>
          <t>Yes</t>
        </is>
      </c>
      <c r="N50" s="69" t="inlineStr">
        <is>
          <t>Lucas</t>
        </is>
      </c>
      <c r="O50" s="69">
        <f>IF(AND(H50&lt;&gt;"",H50&lt;TODAY(),E50&lt;&gt;"Client"),"Overdue","On track")</f>
        <v/>
      </c>
      <c r="P50" s="69" t="n"/>
      <c r="Q50" s="69" t="n"/>
      <c r="R50" s="69" t="inlineStr">
        <is>
          <t>Apollo+LinkedIn</t>
        </is>
      </c>
      <c r="S50" s="69" t="n"/>
    </row>
    <row r="51">
      <c r="A51" s="71" t="n">
        <v>54</v>
      </c>
      <c r="B51" s="71" t="inlineStr">
        <is>
          <t>ANDRADE STONES</t>
        </is>
      </c>
      <c r="C51" s="71" t="inlineStr">
        <is>
          <t>Carlos Salviano</t>
        </is>
      </c>
      <c r="D51" s="71" t="inlineStr">
        <is>
          <t>Mining Manager</t>
        </is>
      </c>
      <c r="E51" s="71" t="inlineStr">
        <is>
          <t>New</t>
        </is>
      </c>
      <c r="F51" s="71" t="inlineStr">
        <is>
          <t>High</t>
        </is>
      </c>
      <c r="G51" s="72" t="n"/>
      <c r="H51" s="71" t="n"/>
      <c r="I51" s="71" t="inlineStr">
        <is>
          <t>Email, Phone, LinkedIn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N51" s="71" t="inlineStr">
        <is>
          <t>Lucas</t>
        </is>
      </c>
      <c r="O51" s="71">
        <f>IF(AND(H51&lt;&gt;"",H51&lt;TODAY(),E51&lt;&gt;"Client"),"Overdue","On track")</f>
        <v/>
      </c>
      <c r="P51" s="71" t="n"/>
      <c r="Q51" s="71" t="n"/>
      <c r="R51" s="71" t="inlineStr">
        <is>
          <t>Apollo+LinkedIn</t>
        </is>
      </c>
      <c r="S51" s="71" t="n"/>
    </row>
    <row r="52">
      <c r="A52" s="69" t="n">
        <v>55</v>
      </c>
      <c r="B52" s="69" t="inlineStr">
        <is>
          <t>ANDRADE STONES</t>
        </is>
      </c>
      <c r="C52" s="69" t="inlineStr">
        <is>
          <t>Patricia Morellato</t>
        </is>
      </c>
      <c r="D52" s="69" t="inlineStr">
        <is>
          <t>Purchasing Supervisor</t>
        </is>
      </c>
      <c r="E52" s="69" t="inlineStr">
        <is>
          <t>New</t>
        </is>
      </c>
      <c r="F52" s="69" t="inlineStr">
        <is>
          <t>High</t>
        </is>
      </c>
      <c r="G52" s="70" t="n"/>
      <c r="H52" s="69" t="n"/>
      <c r="I52" s="69" t="inlineStr">
        <is>
          <t>Email, Phone, LinkedIn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N52" s="69" t="inlineStr">
        <is>
          <t>Lucas</t>
        </is>
      </c>
      <c r="O52" s="69">
        <f>IF(AND(H52&lt;&gt;"",H52&lt;TODAY(),E52&lt;&gt;"Client"),"Overdue","On track")</f>
        <v/>
      </c>
      <c r="P52" s="69" t="n"/>
      <c r="Q52" s="69" t="n"/>
      <c r="R52" s="69" t="inlineStr">
        <is>
          <t>Apollo+LinkedIn</t>
        </is>
      </c>
      <c r="S52" s="69" t="n"/>
    </row>
    <row r="53">
      <c r="A53" s="71" t="n">
        <v>56</v>
      </c>
      <c r="B53" s="71" t="inlineStr">
        <is>
          <t>GRANLUX</t>
        </is>
      </c>
      <c r="C53" s="71" t="inlineStr">
        <is>
          <t>?? To map</t>
        </is>
      </c>
      <c r="D53" s="71" t="inlineStr">
        <is>
          <t>— Not found on Apollo —</t>
        </is>
      </c>
      <c r="E53" s="71" t="inlineStr">
        <is>
          <t>New</t>
        </is>
      </c>
      <c r="F53" s="71" t="inlineStr">
        <is>
          <t>Medium</t>
        </is>
      </c>
      <c r="G53" s="72" t="n"/>
      <c r="H53" s="71" t="n"/>
      <c r="I53" s="71" t="inlineStr">
        <is>
          <t>No contact</t>
        </is>
      </c>
      <c r="N53" s="71" t="inlineStr">
        <is>
          <t>Lucas</t>
        </is>
      </c>
      <c r="O53" s="71">
        <f>IF(AND(H53&lt;&gt;"",H53&lt;TODAY(),E53&lt;&gt;"Client"),"Overdue","On track")</f>
        <v/>
      </c>
      <c r="P53" s="71" t="n"/>
      <c r="Q53" s="71" t="n"/>
      <c r="R53" s="71" t="inlineStr">
        <is>
          <t>LinkedIn (manual)</t>
        </is>
      </c>
      <c r="S53" s="71" t="n"/>
    </row>
    <row r="54">
      <c r="A54" s="69" t="n">
        <v>57</v>
      </c>
      <c r="B54" s="69" t="inlineStr">
        <is>
          <t>V. MINAS</t>
        </is>
      </c>
      <c r="C54" s="69" t="inlineStr">
        <is>
          <t>?? To map</t>
        </is>
      </c>
      <c r="D54" s="69" t="inlineStr">
        <is>
          <t>— Not found on Apollo —</t>
        </is>
      </c>
      <c r="E54" s="69" t="inlineStr">
        <is>
          <t>New</t>
        </is>
      </c>
      <c r="F54" s="69" t="inlineStr">
        <is>
          <t>Medium</t>
        </is>
      </c>
      <c r="G54" s="70" t="n"/>
      <c r="H54" s="69" t="n"/>
      <c r="I54" s="69" t="inlineStr">
        <is>
          <t>No contact</t>
        </is>
      </c>
      <c r="N54" s="69" t="inlineStr">
        <is>
          <t>Lucas</t>
        </is>
      </c>
      <c r="O54" s="69">
        <f>IF(AND(H54&lt;&gt;"",H54&lt;TODAY(),E54&lt;&gt;"Client"),"Overdue","On track")</f>
        <v/>
      </c>
      <c r="P54" s="69" t="n"/>
      <c r="Q54" s="69" t="n"/>
      <c r="R54" s="69" t="inlineStr">
        <is>
          <t>LinkedIn (manual)</t>
        </is>
      </c>
      <c r="S54" s="69" t="n"/>
    </row>
    <row r="55">
      <c r="A55" s="71" t="n">
        <v>58</v>
      </c>
      <c r="B55" s="71" t="inlineStr">
        <is>
          <t>FERTPAR</t>
        </is>
      </c>
      <c r="C55" s="71" t="inlineStr">
        <is>
          <t>?? To map</t>
        </is>
      </c>
      <c r="D55" s="71" t="inlineStr">
        <is>
          <t>— Not found on Apollo —</t>
        </is>
      </c>
      <c r="E55" s="71" t="inlineStr">
        <is>
          <t>New</t>
        </is>
      </c>
      <c r="F55" s="71" t="inlineStr">
        <is>
          <t>Medium</t>
        </is>
      </c>
      <c r="G55" s="72" t="n"/>
      <c r="H55" s="71" t="n"/>
      <c r="I55" s="71" t="inlineStr">
        <is>
          <t>No contact</t>
        </is>
      </c>
      <c r="N55" s="71" t="inlineStr">
        <is>
          <t>Lucas</t>
        </is>
      </c>
      <c r="O55" s="71">
        <f>IF(AND(H55&lt;&gt;"",H55&lt;TODAY(),E55&lt;&gt;"Client"),"Overdue","On track")</f>
        <v/>
      </c>
      <c r="P55" s="71" t="n"/>
      <c r="Q55" s="71" t="n"/>
      <c r="R55" s="71" t="inlineStr">
        <is>
          <t>LinkedIn (manual)</t>
        </is>
      </c>
      <c r="S55" s="71" t="n"/>
    </row>
    <row r="56">
      <c r="A56" s="69" t="n">
        <v>59</v>
      </c>
      <c r="B56" s="69" t="inlineStr">
        <is>
          <t>ELKEN</t>
        </is>
      </c>
      <c r="C56" s="69" t="inlineStr">
        <is>
          <t>?? To map</t>
        </is>
      </c>
      <c r="D56" s="69" t="inlineStr">
        <is>
          <t>— Not found on Apollo —</t>
        </is>
      </c>
      <c r="E56" s="69" t="inlineStr">
        <is>
          <t>New</t>
        </is>
      </c>
      <c r="F56" s="69" t="inlineStr">
        <is>
          <t>Medium</t>
        </is>
      </c>
      <c r="G56" s="70" t="n"/>
      <c r="H56" s="69" t="n"/>
      <c r="I56" s="69" t="inlineStr">
        <is>
          <t>No contact</t>
        </is>
      </c>
      <c r="N56" s="69" t="inlineStr">
        <is>
          <t>Lucas</t>
        </is>
      </c>
      <c r="O56" s="69">
        <f>IF(AND(H56&lt;&gt;"",H56&lt;TODAY(),E56&lt;&gt;"Client"),"Overdue","On track")</f>
        <v/>
      </c>
      <c r="P56" s="69" t="n"/>
      <c r="Q56" s="69" t="n"/>
      <c r="R56" s="69" t="inlineStr">
        <is>
          <t>LinkedIn (manual)</t>
        </is>
      </c>
      <c r="S56" s="69" t="n"/>
    </row>
    <row r="57">
      <c r="A57" s="71" t="n">
        <v>60</v>
      </c>
      <c r="B57" s="71" t="inlineStr">
        <is>
          <t>VANTEC</t>
        </is>
      </c>
      <c r="C57" s="71" t="inlineStr">
        <is>
          <t>?? To map</t>
        </is>
      </c>
      <c r="D57" s="71" t="inlineStr">
        <is>
          <t>— Not found on Apollo —</t>
        </is>
      </c>
      <c r="E57" s="71" t="inlineStr">
        <is>
          <t>New</t>
        </is>
      </c>
      <c r="F57" s="71" t="inlineStr">
        <is>
          <t>Medium</t>
        </is>
      </c>
      <c r="G57" s="72" t="n"/>
      <c r="H57" s="71" t="n"/>
      <c r="I57" s="71" t="inlineStr">
        <is>
          <t>No contact</t>
        </is>
      </c>
      <c r="N57" s="71" t="inlineStr">
        <is>
          <t>Lucas</t>
        </is>
      </c>
      <c r="O57" s="71">
        <f>IF(AND(H57&lt;&gt;"",H57&lt;TODAY(),E57&lt;&gt;"Client"),"Overdue","On track")</f>
        <v/>
      </c>
      <c r="P57" s="71" t="n"/>
      <c r="Q57" s="71" t="n"/>
      <c r="R57" s="71" t="inlineStr">
        <is>
          <t>LinkedIn (manual)</t>
        </is>
      </c>
      <c r="S57" s="71" t="n"/>
    </row>
    <row r="58">
      <c r="A58" s="69" t="n">
        <v>61</v>
      </c>
      <c r="B58" s="69" t="inlineStr">
        <is>
          <t>CICLO RECICLAGEM</t>
        </is>
      </c>
      <c r="C58" s="69" t="inlineStr">
        <is>
          <t>?? To map</t>
        </is>
      </c>
      <c r="D58" s="69" t="inlineStr">
        <is>
          <t>— Not found on Apollo —</t>
        </is>
      </c>
      <c r="E58" s="69" t="inlineStr">
        <is>
          <t>New</t>
        </is>
      </c>
      <c r="F58" s="69" t="inlineStr">
        <is>
          <t>Medium</t>
        </is>
      </c>
      <c r="G58" s="70" t="n"/>
      <c r="H58" s="69" t="n"/>
      <c r="I58" s="69" t="inlineStr">
        <is>
          <t>No contact</t>
        </is>
      </c>
      <c r="N58" s="69" t="inlineStr">
        <is>
          <t>Lucas</t>
        </is>
      </c>
      <c r="O58" s="69">
        <f>IF(AND(H58&lt;&gt;"",H58&lt;TODAY(),E58&lt;&gt;"Client"),"Overdue","On track")</f>
        <v/>
      </c>
      <c r="P58" s="69" t="n"/>
      <c r="Q58" s="69" t="n"/>
      <c r="R58" s="69" t="inlineStr">
        <is>
          <t>LinkedIn (manual)</t>
        </is>
      </c>
      <c r="S58" s="69" t="n"/>
    </row>
    <row r="59">
      <c r="A59" s="71" t="n">
        <v>62</v>
      </c>
      <c r="B59" s="71" t="inlineStr">
        <is>
          <t>ECOPLAST</t>
        </is>
      </c>
      <c r="C59" s="71" t="inlineStr">
        <is>
          <t>?? To map</t>
        </is>
      </c>
      <c r="D59" s="71" t="inlineStr">
        <is>
          <t>— Not found on Apollo —</t>
        </is>
      </c>
      <c r="E59" s="71" t="inlineStr">
        <is>
          <t>New</t>
        </is>
      </c>
      <c r="F59" s="71" t="inlineStr">
        <is>
          <t>Medium</t>
        </is>
      </c>
      <c r="G59" s="72" t="n"/>
      <c r="H59" s="71" t="n"/>
      <c r="I59" s="71" t="inlineStr">
        <is>
          <t>No contact</t>
        </is>
      </c>
      <c r="N59" s="71" t="inlineStr">
        <is>
          <t>Lucas</t>
        </is>
      </c>
      <c r="O59" s="71">
        <f>IF(AND(H59&lt;&gt;"",H59&lt;TODAY(),E59&lt;&gt;"Client"),"Overdue","On track")</f>
        <v/>
      </c>
      <c r="P59" s="71" t="n"/>
      <c r="Q59" s="71" t="n"/>
      <c r="R59" s="71" t="inlineStr">
        <is>
          <t>LinkedIn (manual)</t>
        </is>
      </c>
      <c r="S59" s="71" t="n"/>
    </row>
    <row r="60">
      <c r="A60" s="69" t="n">
        <v>63</v>
      </c>
      <c r="B60" s="69" t="inlineStr">
        <is>
          <t>RDG</t>
        </is>
      </c>
      <c r="C60" s="69" t="inlineStr">
        <is>
          <t>?? To map</t>
        </is>
      </c>
      <c r="D60" s="69" t="inlineStr">
        <is>
          <t>— Not found on Apollo —</t>
        </is>
      </c>
      <c r="E60" s="69" t="inlineStr">
        <is>
          <t>New</t>
        </is>
      </c>
      <c r="F60" s="69" t="inlineStr">
        <is>
          <t>Medium</t>
        </is>
      </c>
      <c r="G60" s="70" t="n"/>
      <c r="H60" s="69" t="n"/>
      <c r="I60" s="69" t="inlineStr">
        <is>
          <t>No contact</t>
        </is>
      </c>
      <c r="N60" s="69" t="inlineStr">
        <is>
          <t>Lucas</t>
        </is>
      </c>
      <c r="O60" s="69">
        <f>IF(AND(H60&lt;&gt;"",H60&lt;TODAY(),E60&lt;&gt;"Client"),"Overdue","On track")</f>
        <v/>
      </c>
      <c r="P60" s="69" t="n"/>
      <c r="Q60" s="69" t="n"/>
      <c r="R60" s="69" t="inlineStr">
        <is>
          <t>LinkedIn (manual)</t>
        </is>
      </c>
      <c r="S60" s="69" t="n"/>
    </row>
  </sheetData>
  <autoFilter ref="A1:O60"/>
  <conditionalFormatting sqref="E2:E60">
    <cfRule type="expression" priority="2" dxfId="3">
      <formula>$E2="Reuni?o Marcada"</formula>
    </cfRule>
    <cfRule type="expression" priority="3" dxfId="2">
      <formula>$E2="Cliente"</formula>
    </cfRule>
  </conditionalFormatting>
  <conditionalFormatting sqref="K2:K60">
    <cfRule type="expression" priority="1" dxfId="1">
      <formula>$K2="Em atraso"</formula>
    </cfRule>
  </conditionalFormatting>
  <conditionalFormatting sqref="L2:L60">
    <cfRule type="expression" priority="4" dxfId="0">
      <formula>$L2="Sim"</formula>
    </cfRule>
  </conditionalFormatting>
  <dataValidations count="2">
    <dataValidation sqref="E2:E60" showDropDown="0" showInputMessage="0" showErrorMessage="0" allowBlank="1" type="list">
      <formula1>"New,In Contact,Meeting Scheduled,Proposal Sent,Client,Discarded"</formula1>
    </dataValidation>
    <dataValidation sqref="F2:F6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1" topLeftCell="A52" activePane="bottomLeft" state="frozen"/>
      <selection pane="bottomLeft" activeCell="Q63" sqref="Q63"/>
    </sheetView>
  </sheetViews>
  <sheetFormatPr baseColWidth="8" defaultRowHeight="14.4"/>
  <cols>
    <col width="7.21875" bestFit="1" customWidth="1" style="83" min="1" max="1"/>
    <col width="17.6640625" bestFit="1" customWidth="1" style="83" min="2" max="2"/>
    <col width="30" bestFit="1" customWidth="1" style="83" min="3" max="3"/>
    <col width="42.109375" bestFit="1" customWidth="1" style="83" min="4" max="4"/>
    <col width="18.77734375" bestFit="1" customWidth="1" style="83" min="5" max="5"/>
    <col width="33.33203125" bestFit="1" customWidth="1" style="83" min="6" max="6"/>
    <col width="15.109375" bestFit="1" customWidth="1" style="83" min="7" max="7"/>
    <col width="48.21875" bestFit="1" customWidth="1" style="83" min="8" max="8"/>
    <col width="16.109375" bestFit="1" customWidth="1" style="83" min="9" max="9"/>
    <col width="14.5546875" bestFit="1" customWidth="1" style="83" min="10" max="10"/>
    <col width="14.6640625" bestFit="1" customWidth="1" style="83" min="11" max="11"/>
    <col width="18" bestFit="1" customWidth="1" style="83" min="12" max="12"/>
    <col width="19.88671875" bestFit="1" customWidth="1" style="83" min="13" max="13"/>
    <col width="18.6640625" bestFit="1" customWidth="1" style="83" min="14" max="14"/>
    <col width="15" bestFit="1" customWidth="1" style="83" min="15" max="15"/>
    <col width="192.77734375" bestFit="1" customWidth="1" style="83" min="16" max="16"/>
    <col width="35.88671875" bestFit="1" customWidth="1" style="83" min="17" max="17"/>
    <col width="15.21875" bestFit="1" customWidth="1" style="83" min="18" max="18"/>
    <col width="47.77734375" bestFit="1" customWidth="1" style="83" min="19" max="19"/>
    <col width="37.21875" bestFit="1" customWidth="1" style="83" min="20" max="20"/>
    <col width="21.33203125" bestFit="1" customWidth="1" style="83" min="21" max="21"/>
    <col width="23.88671875" bestFit="1" customWidth="1" style="83" min="22" max="22"/>
    <col width="18.33203125" bestFit="1" customWidth="1" style="83" min="23" max="23"/>
    <col width="15.109375" bestFit="1" customWidth="1" style="83" min="24" max="24"/>
    <col width="19.44140625" bestFit="1" customWidth="1" style="83" min="25" max="25"/>
    <col width="18.109375" bestFit="1" customWidth="1" style="83" min="26" max="26"/>
    <col width="18.21875" bestFit="1" customWidth="1" style="83" min="27" max="27"/>
    <col width="11.21875" bestFit="1" customWidth="1" style="83" min="28" max="28"/>
  </cols>
  <sheetData>
    <row r="1" ht="24" customHeight="1" s="83">
      <c r="A1" s="68" t="inlineStr">
        <is>
          <t>ID</t>
        </is>
      </c>
      <c r="B1" s="68" t="inlineStr">
        <is>
          <t>Company</t>
        </is>
      </c>
      <c r="C1" s="68" t="inlineStr">
        <is>
          <t>Full Name</t>
        </is>
      </c>
      <c r="D1" s="68" t="inlineStr">
        <is>
          <t>Role</t>
        </is>
      </c>
      <c r="E1" s="68" t="inlineStr">
        <is>
          <t>Department</t>
        </is>
      </c>
      <c r="F1" s="68" t="inlineStr">
        <is>
          <t>Email</t>
        </is>
      </c>
      <c r="G1" s="68" t="inlineStr">
        <is>
          <t>Phone</t>
        </is>
      </c>
      <c r="H1" s="68" t="inlineStr">
        <is>
          <t>LinkedIn</t>
        </is>
      </c>
      <c r="I1" s="68" t="inlineStr">
        <is>
          <t>Location</t>
        </is>
      </c>
      <c r="J1" s="68" t="inlineStr">
        <is>
          <t>Status</t>
        </is>
      </c>
      <c r="K1" s="68" t="inlineStr">
        <is>
          <t>Priority</t>
        </is>
      </c>
      <c r="L1" t="inlineStr">
        <is>
          <t>Channel Email</t>
        </is>
      </c>
      <c r="M1" t="inlineStr">
        <is>
          <t>Channel Phone</t>
        </is>
      </c>
      <c r="N1" t="inlineStr">
        <is>
          <t>Channel LinkedIn</t>
        </is>
      </c>
      <c r="O1" t="inlineStr">
        <is>
          <t>Channel WhatsApp</t>
        </is>
      </c>
      <c r="P1" s="68" t="inlineStr">
        <is>
          <t>Next Action</t>
        </is>
      </c>
      <c r="Q1" s="68" t="inlineStr">
        <is>
          <t>Next Action Date</t>
        </is>
      </c>
      <c r="R1" s="68" t="inlineStr">
        <is>
          <t>Last Contact</t>
        </is>
      </c>
      <c r="S1" s="68" t="inlineStr">
        <is>
          <t>Source</t>
        </is>
      </c>
      <c r="T1" s="68" t="inlineStr">
        <is>
          <t>Lead Insight</t>
        </is>
      </c>
      <c r="U1" s="68" t="inlineStr">
        <is>
          <t>Notes</t>
        </is>
      </c>
      <c r="V1" s="68" t="inlineStr">
        <is>
          <t>Relevance</t>
        </is>
      </c>
      <c r="W1" s="68" t="inlineStr">
        <is>
          <t>Account_Summary</t>
        </is>
      </c>
      <c r="X1" s="68" t="inlineStr">
        <is>
          <t>Account_Sector</t>
        </is>
      </c>
      <c r="Y1" s="68" t="inlineStr">
        <is>
          <t>Account_City_State</t>
        </is>
      </c>
      <c r="Z1" s="68" t="inlineStr">
        <is>
          <t>Account_Size</t>
        </is>
      </c>
      <c r="AA1" s="68" t="inlineStr">
        <is>
          <t>Account_Revenue</t>
        </is>
      </c>
      <c r="AB1" s="68" t="inlineStr">
        <is>
          <t>Account_Website</t>
        </is>
      </c>
      <c r="AC1" s="68" t="inlineStr">
        <is>
          <t>Account_Phone</t>
        </is>
      </c>
      <c r="AD1" s="68" t="inlineStr">
        <is>
          <t>Created Date</t>
        </is>
      </c>
      <c r="AE1" s="68" t="inlineStr">
        <is>
          <t>SharePoint_ID</t>
        </is>
      </c>
      <c r="AF1" s="68" t="inlineStr">
        <is>
          <t>Global</t>
        </is>
      </c>
    </row>
    <row r="2">
      <c r="A2" s="73" t="n">
        <v>1</v>
      </c>
      <c r="B2" s="73" t="inlineStr">
        <is>
          <t>FORTLEV</t>
        </is>
      </c>
      <c r="C2" s="73" t="inlineStr">
        <is>
          <t>Keylla Mollulo</t>
        </is>
      </c>
      <c r="D2" s="73" t="inlineStr">
        <is>
          <t>REC Share Es Unit</t>
        </is>
      </c>
      <c r="E2" s="73" t="inlineStr">
        <is>
          <t>HR</t>
        </is>
      </c>
      <c r="F2" s="73" t="inlineStr">
        <is>
          <t>keylla.pm@fortlev.com.br</t>
        </is>
      </c>
      <c r="G2" s="73" t="n"/>
      <c r="H2" s="73" t="inlineStr">
        <is>
          <t>linkedin.com/in/keylla-mollulo</t>
        </is>
      </c>
      <c r="I2" s="73" t="n"/>
      <c r="J2" s="73" t="inlineStr">
        <is>
          <t>In Contact</t>
        </is>
      </c>
      <c r="K2" s="73" t="inlineStr">
        <is>
          <t>High</t>
        </is>
      </c>
      <c r="L2" t="inlineStr">
        <is>
          <t>Yes</t>
        </is>
      </c>
      <c r="N2" t="inlineStr">
        <is>
          <t>Yes</t>
        </is>
      </c>
      <c r="P2" s="74" t="n"/>
      <c r="Q2" s="73" t="n"/>
      <c r="R2" s="73" t="n"/>
      <c r="S2" s="73" t="inlineStr">
        <is>
          <t>Apollo+LinkedIn</t>
        </is>
      </c>
      <c r="T2" s="73" t="inlineStr">
        <is>
          <t>Lead original — gerou mapeamento Fortlev</t>
        </is>
      </c>
      <c r="U2" s="74" t="n"/>
      <c r="V2" s="74" t="n"/>
      <c r="W2" s="74" t="inlineStr">
        <is>
          <t>FORTLEV</t>
        </is>
      </c>
      <c r="X2" s="73" t="n"/>
      <c r="Y2" s="73" t="n"/>
      <c r="Z2" s="73" t="n"/>
      <c r="AA2" s="73" t="n"/>
      <c r="AB2" s="73" t="n"/>
      <c r="AC2" s="73" t="n"/>
      <c r="AD2" s="75" t="n">
        <v>46093</v>
      </c>
      <c r="AE2" s="73" t="n"/>
      <c r="AF2" s="73" t="n"/>
    </row>
    <row r="3">
      <c r="A3" s="76" t="n">
        <v>2</v>
      </c>
      <c r="B3" s="76" t="inlineStr">
        <is>
          <t>FORTLEV</t>
        </is>
      </c>
      <c r="C3" s="76" t="inlineStr">
        <is>
          <t>Jose Luis Campos de Faria</t>
        </is>
      </c>
      <c r="D3" s="76" t="inlineStr">
        <is>
          <t>Supply Manager</t>
        </is>
      </c>
      <c r="E3" s="76" t="inlineStr">
        <is>
          <t>Supplies</t>
        </is>
      </c>
      <c r="F3" s="76" t="n"/>
      <c r="G3" s="76" t="n"/>
      <c r="H3" s="76" t="n"/>
      <c r="I3" s="76" t="n"/>
      <c r="J3" s="76" t="inlineStr">
        <is>
          <t>New</t>
        </is>
      </c>
      <c r="K3" s="76" t="inlineStr">
        <is>
          <t>High</t>
        </is>
      </c>
      <c r="P3" s="77" t="n"/>
      <c r="Q3" s="76" t="n"/>
      <c r="R3" s="76" t="n"/>
      <c r="S3" s="76" t="inlineStr">
        <is>
          <t>Apollo+LinkedIn</t>
        </is>
      </c>
      <c r="T3" s="76" t="inlineStr">
        <is>
          <t>Decisor principal de suprimentos</t>
        </is>
      </c>
      <c r="U3" s="77" t="n"/>
      <c r="V3" s="77" t="n"/>
      <c r="W3" s="77" t="inlineStr">
        <is>
          <t>FORTLEV</t>
        </is>
      </c>
      <c r="X3" s="76" t="n"/>
      <c r="Y3" s="76" t="n"/>
      <c r="Z3" s="76" t="n"/>
      <c r="AA3" s="76" t="n"/>
      <c r="AB3" s="76" t="n"/>
      <c r="AC3" s="76" t="n"/>
      <c r="AD3" s="78" t="n">
        <v>46093</v>
      </c>
      <c r="AE3" s="76" t="n"/>
      <c r="AF3" s="76" t="n"/>
    </row>
    <row r="4">
      <c r="A4" s="73" t="n">
        <v>3</v>
      </c>
      <c r="B4" s="73" t="inlineStr">
        <is>
          <t>FORTLEV</t>
        </is>
      </c>
      <c r="C4" s="73" t="inlineStr">
        <is>
          <t>Madson Vidal</t>
        </is>
      </c>
      <c r="D4" s="73" t="inlineStr">
        <is>
          <t>Supply Manager</t>
        </is>
      </c>
      <c r="E4" s="73" t="inlineStr">
        <is>
          <t>Supplies</t>
        </is>
      </c>
      <c r="F4" s="73" t="n"/>
      <c r="G4" s="73" t="n"/>
      <c r="H4" s="73" t="n"/>
      <c r="I4" s="73" t="n"/>
      <c r="J4" s="73" t="inlineStr">
        <is>
          <t>New</t>
        </is>
      </c>
      <c r="K4" s="73" t="inlineStr">
        <is>
          <t>High</t>
        </is>
      </c>
      <c r="P4" s="74" t="n"/>
      <c r="Q4" s="73" t="n"/>
      <c r="R4" s="73" t="n"/>
      <c r="S4" s="73" t="inlineStr">
        <is>
          <t>Apollo+LinkedIn</t>
        </is>
      </c>
      <c r="T4" s="73" t="inlineStr">
        <is>
          <t>5k seguidores no LinkedIn — ativo na rede</t>
        </is>
      </c>
      <c r="U4" s="74" t="n"/>
      <c r="V4" s="74" t="n"/>
      <c r="W4" s="74" t="inlineStr">
        <is>
          <t>FORTLEV</t>
        </is>
      </c>
      <c r="X4" s="73" t="n"/>
      <c r="Y4" s="73" t="n"/>
      <c r="Z4" s="73" t="n"/>
      <c r="AA4" s="73" t="n"/>
      <c r="AB4" s="73" t="n"/>
      <c r="AC4" s="73" t="n"/>
      <c r="AD4" s="75" t="n">
        <v>46093</v>
      </c>
      <c r="AE4" s="73" t="n"/>
      <c r="AF4" s="73" t="n"/>
    </row>
    <row r="5">
      <c r="A5" s="76" t="n">
        <v>4</v>
      </c>
      <c r="B5" s="76" t="inlineStr">
        <is>
          <t>FORTLEV</t>
        </is>
      </c>
      <c r="C5" s="76" t="inlineStr">
        <is>
          <t>Richard Antonio Silva</t>
        </is>
      </c>
      <c r="D5" s="76" t="inlineStr">
        <is>
          <t>Corporate Maintenance Manager</t>
        </is>
      </c>
      <c r="E5" s="76" t="inlineStr">
        <is>
          <t>Maintenance</t>
        </is>
      </c>
      <c r="F5" s="76" t="n"/>
      <c r="G5" s="76" t="n"/>
      <c r="H5" s="76" t="n"/>
      <c r="I5" s="76" t="n"/>
      <c r="J5" s="76" t="inlineStr">
        <is>
          <t>New</t>
        </is>
      </c>
      <c r="K5" s="76" t="inlineStr">
        <is>
          <t>High</t>
        </is>
      </c>
      <c r="P5" s="77" t="n"/>
      <c r="Q5" s="76" t="n"/>
      <c r="R5" s="76" t="n"/>
      <c r="S5" s="76" t="inlineStr">
        <is>
          <t>Apollo+LinkedIn</t>
        </is>
      </c>
      <c r="T5" s="76" t="inlineStr">
        <is>
          <t>Decisor principal de manutenção</t>
        </is>
      </c>
      <c r="U5" s="77" t="n"/>
      <c r="V5" s="77" t="n"/>
      <c r="W5" s="77" t="inlineStr">
        <is>
          <t>FORTLEV</t>
        </is>
      </c>
      <c r="X5" s="76" t="n"/>
      <c r="Y5" s="76" t="n"/>
      <c r="Z5" s="76" t="n"/>
      <c r="AA5" s="76" t="n"/>
      <c r="AB5" s="76" t="n"/>
      <c r="AC5" s="76" t="n"/>
      <c r="AD5" s="78" t="n">
        <v>46093</v>
      </c>
      <c r="AE5" s="76" t="n"/>
      <c r="AF5" s="76" t="n"/>
    </row>
    <row r="6">
      <c r="A6" s="73" t="n">
        <v>5</v>
      </c>
      <c r="B6" s="73" t="inlineStr">
        <is>
          <t>FORTLEV</t>
        </is>
      </c>
      <c r="C6" s="73" t="inlineStr">
        <is>
          <t>Rogerio</t>
        </is>
      </c>
      <c r="D6" s="73" t="inlineStr">
        <is>
          <t>Maintenance Manager</t>
        </is>
      </c>
      <c r="E6" s="73" t="inlineStr">
        <is>
          <t>Maintenance</t>
        </is>
      </c>
      <c r="F6" s="73" t="n"/>
      <c r="G6" s="73" t="n"/>
      <c r="H6" s="73" t="n"/>
      <c r="I6" s="73" t="n"/>
      <c r="J6" s="73" t="inlineStr">
        <is>
          <t>New</t>
        </is>
      </c>
      <c r="K6" s="73" t="inlineStr">
        <is>
          <t>High</t>
        </is>
      </c>
      <c r="P6" s="74" t="n"/>
      <c r="Q6" s="73" t="n"/>
      <c r="R6" s="73" t="n"/>
      <c r="S6" s="73" t="inlineStr">
        <is>
          <t>Apollo</t>
        </is>
      </c>
      <c r="T6" s="73" t="n"/>
      <c r="U6" s="74" t="n"/>
      <c r="V6" s="74" t="n"/>
      <c r="W6" s="74" t="inlineStr">
        <is>
          <t>FORTLEV</t>
        </is>
      </c>
      <c r="X6" s="73" t="n"/>
      <c r="Y6" s="73" t="n"/>
      <c r="Z6" s="73" t="n"/>
      <c r="AA6" s="73" t="n"/>
      <c r="AB6" s="73" t="n"/>
      <c r="AC6" s="73" t="n"/>
      <c r="AD6" s="75" t="n">
        <v>46093</v>
      </c>
      <c r="AE6" s="73" t="n"/>
      <c r="AF6" s="73" t="n"/>
    </row>
    <row r="7">
      <c r="A7" s="76" t="n">
        <v>6</v>
      </c>
      <c r="B7" s="76" t="inlineStr">
        <is>
          <t>FORTLEV</t>
        </is>
      </c>
      <c r="C7" s="76" t="inlineStr">
        <is>
          <t>Jefferson</t>
        </is>
      </c>
      <c r="D7" s="76" t="inlineStr">
        <is>
          <t>Maintenance Supervisor</t>
        </is>
      </c>
      <c r="E7" s="76" t="inlineStr">
        <is>
          <t>Maintenance</t>
        </is>
      </c>
      <c r="F7" s="76" t="n"/>
      <c r="G7" s="76" t="n"/>
      <c r="H7" s="76" t="n"/>
      <c r="I7" s="76" t="n"/>
      <c r="J7" s="76" t="inlineStr">
        <is>
          <t>New</t>
        </is>
      </c>
      <c r="K7" s="76" t="inlineStr">
        <is>
          <t>Medium</t>
        </is>
      </c>
      <c r="P7" s="77" t="n"/>
      <c r="Q7" s="76" t="n"/>
      <c r="R7" s="76" t="n"/>
      <c r="S7" s="76" t="inlineStr">
        <is>
          <t>Apollo</t>
        </is>
      </c>
      <c r="T7" s="76" t="n"/>
      <c r="U7" s="77" t="n"/>
      <c r="V7" s="77" t="n"/>
      <c r="W7" s="77" t="inlineStr">
        <is>
          <t>FORTLEV</t>
        </is>
      </c>
      <c r="X7" s="76" t="n"/>
      <c r="Y7" s="76" t="n"/>
      <c r="Z7" s="76" t="n"/>
      <c r="AA7" s="76" t="n"/>
      <c r="AB7" s="76" t="n"/>
      <c r="AC7" s="76" t="n"/>
      <c r="AD7" s="78" t="n">
        <v>46093</v>
      </c>
      <c r="AE7" s="76" t="n"/>
      <c r="AF7" s="76" t="n"/>
    </row>
    <row r="8">
      <c r="A8" s="73" t="n">
        <v>7</v>
      </c>
      <c r="B8" s="73" t="inlineStr">
        <is>
          <t>FORTLEV</t>
        </is>
      </c>
      <c r="C8" s="73" t="inlineStr">
        <is>
          <t>Rafaella Queiróz Pessotti de Almeida</t>
        </is>
      </c>
      <c r="D8" s="73" t="inlineStr">
        <is>
          <t>Supply Specialist</t>
        </is>
      </c>
      <c r="E8" s="73" t="inlineStr">
        <is>
          <t>Supplies</t>
        </is>
      </c>
      <c r="F8" s="73" t="n"/>
      <c r="G8" s="73" t="n"/>
      <c r="H8" s="73" t="n"/>
      <c r="I8" s="73" t="n"/>
      <c r="J8" s="73" t="inlineStr">
        <is>
          <t>New</t>
        </is>
      </c>
      <c r="K8" s="73" t="inlineStr">
        <is>
          <t>High</t>
        </is>
      </c>
      <c r="P8" s="74" t="n"/>
      <c r="Q8" s="73" t="n"/>
      <c r="R8" s="73" t="n"/>
      <c r="S8" s="73" t="inlineStr">
        <is>
          <t>Apollo+LinkedIn</t>
        </is>
      </c>
      <c r="T8" s="73" t="inlineStr">
        <is>
          <t>SAP — Purchasing Strategy</t>
        </is>
      </c>
      <c r="U8" s="74" t="n"/>
      <c r="V8" s="74" t="n"/>
      <c r="W8" s="74" t="inlineStr">
        <is>
          <t>FORTLEV</t>
        </is>
      </c>
      <c r="X8" s="73" t="n"/>
      <c r="Y8" s="73" t="n"/>
      <c r="Z8" s="73" t="n"/>
      <c r="AA8" s="73" t="n"/>
      <c r="AB8" s="73" t="n"/>
      <c r="AC8" s="73" t="n"/>
      <c r="AD8" s="75" t="n">
        <v>46093</v>
      </c>
      <c r="AE8" s="73" t="n"/>
      <c r="AF8" s="73" t="n"/>
    </row>
    <row r="9">
      <c r="A9" s="76" t="n">
        <v>8</v>
      </c>
      <c r="B9" s="76" t="inlineStr">
        <is>
          <t>FORTLEV</t>
        </is>
      </c>
      <c r="C9" s="76" t="inlineStr">
        <is>
          <t>Daniella Lopes</t>
        </is>
      </c>
      <c r="D9" s="76" t="inlineStr">
        <is>
          <t>Supply Specialist</t>
        </is>
      </c>
      <c r="E9" s="76" t="inlineStr">
        <is>
          <t>Supplies</t>
        </is>
      </c>
      <c r="F9" s="76" t="n"/>
      <c r="G9" s="76" t="n"/>
      <c r="H9" s="76" t="n"/>
      <c r="I9" s="76" t="n"/>
      <c r="J9" s="76" t="inlineStr">
        <is>
          <t>New</t>
        </is>
      </c>
      <c r="K9" s="76" t="inlineStr">
        <is>
          <t>High</t>
        </is>
      </c>
      <c r="P9" s="77" t="n"/>
      <c r="Q9" s="76" t="n"/>
      <c r="R9" s="76" t="n"/>
      <c r="S9" s="76" t="inlineStr">
        <is>
          <t>Apollo+LinkedIn</t>
        </is>
      </c>
      <c r="T9" s="76" t="inlineStr">
        <is>
          <t>10+ anos em Compras Industriais</t>
        </is>
      </c>
      <c r="U9" s="77" t="n"/>
      <c r="V9" s="77" t="n"/>
      <c r="W9" s="77" t="inlineStr">
        <is>
          <t>FORTLEV</t>
        </is>
      </c>
      <c r="X9" s="76" t="n"/>
      <c r="Y9" s="76" t="n"/>
      <c r="Z9" s="76" t="n"/>
      <c r="AA9" s="76" t="n"/>
      <c r="AB9" s="76" t="n"/>
      <c r="AC9" s="76" t="n"/>
      <c r="AD9" s="78" t="n">
        <v>46093</v>
      </c>
      <c r="AE9" s="76" t="n"/>
      <c r="AF9" s="76" t="n"/>
    </row>
    <row r="10">
      <c r="A10" s="73" t="n">
        <v>9</v>
      </c>
      <c r="B10" s="73" t="inlineStr">
        <is>
          <t>FORTLEV</t>
        </is>
      </c>
      <c r="C10" s="73" t="inlineStr">
        <is>
          <t>Robson Dal Col Ribeiro</t>
        </is>
      </c>
      <c r="D10" s="73" t="inlineStr">
        <is>
          <t>Supply Specialist - SAP MM</t>
        </is>
      </c>
      <c r="E10" s="73" t="inlineStr">
        <is>
          <t>Supplies</t>
        </is>
      </c>
      <c r="F10" s="73" t="n"/>
      <c r="G10" s="73" t="n"/>
      <c r="H10" s="73" t="n"/>
      <c r="I10" s="73" t="n"/>
      <c r="J10" s="73" t="inlineStr">
        <is>
          <t>New</t>
        </is>
      </c>
      <c r="K10" s="73" t="inlineStr">
        <is>
          <t>Medium</t>
        </is>
      </c>
      <c r="P10" s="74" t="n"/>
      <c r="Q10" s="73" t="n"/>
      <c r="R10" s="73" t="n"/>
      <c r="S10" s="73" t="inlineStr">
        <is>
          <t>Apollo+LinkedIn</t>
        </is>
      </c>
      <c r="T10" s="73" t="inlineStr">
        <is>
          <t>SAP S/4HANA MM — perfil técnico</t>
        </is>
      </c>
      <c r="U10" s="74" t="n"/>
      <c r="V10" s="74" t="n"/>
      <c r="W10" s="74" t="inlineStr">
        <is>
          <t>FORTLEV</t>
        </is>
      </c>
      <c r="X10" s="73" t="n"/>
      <c r="Y10" s="73" t="n"/>
      <c r="Z10" s="73" t="n"/>
      <c r="AA10" s="73" t="n"/>
      <c r="AB10" s="73" t="n"/>
      <c r="AC10" s="73" t="n"/>
      <c r="AD10" s="75" t="n">
        <v>46093</v>
      </c>
      <c r="AE10" s="73" t="n"/>
      <c r="AF10" s="73" t="n"/>
    </row>
    <row r="11">
      <c r="A11" s="76" t="n">
        <v>10</v>
      </c>
      <c r="B11" s="76" t="inlineStr">
        <is>
          <t>FORTLEV</t>
        </is>
      </c>
      <c r="C11" s="76" t="inlineStr">
        <is>
          <t>Pablo Silva</t>
        </is>
      </c>
      <c r="D11" s="76" t="inlineStr">
        <is>
          <t>Maintenance Specialist</t>
        </is>
      </c>
      <c r="E11" s="76" t="inlineStr">
        <is>
          <t>Maintenance</t>
        </is>
      </c>
      <c r="F11" s="76" t="n"/>
      <c r="G11" s="76" t="n"/>
      <c r="H11" s="76" t="n"/>
      <c r="I11" s="76" t="n"/>
      <c r="J11" s="76" t="inlineStr">
        <is>
          <t>New</t>
        </is>
      </c>
      <c r="K11" s="76" t="inlineStr">
        <is>
          <t>High</t>
        </is>
      </c>
      <c r="P11" s="77" t="n"/>
      <c r="Q11" s="76" t="n"/>
      <c r="R11" s="76" t="n"/>
      <c r="S11" s="76" t="inlineStr">
        <is>
          <t>Apollo+LinkedIn</t>
        </is>
      </c>
      <c r="T11" s="76" t="inlineStr">
        <is>
          <t>Técnico de automação</t>
        </is>
      </c>
      <c r="U11" s="77" t="n"/>
      <c r="V11" s="77" t="n"/>
      <c r="W11" s="77" t="inlineStr">
        <is>
          <t>FORTLEV</t>
        </is>
      </c>
      <c r="X11" s="76" t="n"/>
      <c r="Y11" s="76" t="n"/>
      <c r="Z11" s="76" t="n"/>
      <c r="AA11" s="76" t="n"/>
      <c r="AB11" s="76" t="n"/>
      <c r="AC11" s="76" t="n"/>
      <c r="AD11" s="78" t="n">
        <v>46093</v>
      </c>
      <c r="AE11" s="76" t="n"/>
      <c r="AF11" s="76" t="n"/>
    </row>
    <row r="12">
      <c r="A12" s="73" t="n">
        <v>11</v>
      </c>
      <c r="B12" s="73" t="inlineStr">
        <is>
          <t>FORTLEV</t>
        </is>
      </c>
      <c r="C12" s="73" t="inlineStr">
        <is>
          <t>Franklin Douglas Leal</t>
        </is>
      </c>
      <c r="D12" s="73" t="inlineStr">
        <is>
          <t>Supply Analyst</t>
        </is>
      </c>
      <c r="E12" s="73" t="inlineStr">
        <is>
          <t>Supplies</t>
        </is>
      </c>
      <c r="F12" s="73" t="n"/>
      <c r="G12" s="73" t="n"/>
      <c r="H12" s="73" t="n"/>
      <c r="I12" s="73" t="n"/>
      <c r="J12" s="73" t="inlineStr">
        <is>
          <t>Meeting Scheduled</t>
        </is>
      </c>
      <c r="K12" s="73" t="inlineStr">
        <is>
          <t>High</t>
        </is>
      </c>
      <c r="P12" s="74" t="n"/>
      <c r="Q12" s="73" t="n"/>
      <c r="R12" s="73" t="n"/>
      <c r="S12" s="73" t="inlineStr">
        <is>
          <t>Apollo+LinkedIn</t>
        </is>
      </c>
      <c r="T12" s="73" t="inlineStr">
        <is>
          <t>Já na planilha global (ID 9 e 199) — prob. 100%</t>
        </is>
      </c>
      <c r="U12" s="74" t="n"/>
      <c r="V12" s="74" t="n"/>
      <c r="W12" s="74" t="inlineStr">
        <is>
          <t>FORTLEV</t>
        </is>
      </c>
      <c r="X12" s="73" t="n"/>
      <c r="Y12" s="73" t="n"/>
      <c r="Z12" s="73" t="n"/>
      <c r="AA12" s="73" t="n"/>
      <c r="AB12" s="73" t="n"/>
      <c r="AC12" s="73" t="n"/>
      <c r="AD12" s="75" t="n">
        <v>46093</v>
      </c>
      <c r="AE12" s="73" t="inlineStr">
        <is>
          <t>9</t>
        </is>
      </c>
      <c r="AF12" s="73" t="n"/>
    </row>
    <row r="13">
      <c r="A13" s="76" t="n">
        <v>12</v>
      </c>
      <c r="B13" s="76" t="inlineStr">
        <is>
          <t>FORTLEV</t>
        </is>
      </c>
      <c r="C13" s="76" t="inlineStr">
        <is>
          <t>Mariana Branco</t>
        </is>
      </c>
      <c r="D13" s="76" t="inlineStr">
        <is>
          <t>Supply Analyst</t>
        </is>
      </c>
      <c r="E13" s="76" t="inlineStr">
        <is>
          <t>Supplies</t>
        </is>
      </c>
      <c r="F13" s="76" t="n"/>
      <c r="G13" s="76" t="n"/>
      <c r="H13" s="76" t="n"/>
      <c r="I13" s="76" t="n"/>
      <c r="J13" s="76" t="inlineStr">
        <is>
          <t>New</t>
        </is>
      </c>
      <c r="K13" s="76" t="inlineStr">
        <is>
          <t>Medium</t>
        </is>
      </c>
      <c r="P13" s="77" t="n"/>
      <c r="Q13" s="76" t="n"/>
      <c r="R13" s="76" t="n"/>
      <c r="S13" s="76" t="inlineStr">
        <is>
          <t>Apollo+LinkedIn</t>
        </is>
      </c>
      <c r="T13" s="76" t="n"/>
      <c r="U13" s="77" t="n"/>
      <c r="V13" s="77" t="n"/>
      <c r="W13" s="77" t="inlineStr">
        <is>
          <t>FORTLEV</t>
        </is>
      </c>
      <c r="X13" s="76" t="n"/>
      <c r="Y13" s="76" t="n"/>
      <c r="Z13" s="76" t="n"/>
      <c r="AA13" s="76" t="n"/>
      <c r="AB13" s="76" t="n"/>
      <c r="AC13" s="76" t="n"/>
      <c r="AD13" s="78" t="n">
        <v>46093</v>
      </c>
      <c r="AE13" s="76" t="n"/>
      <c r="AF13" s="76" t="n"/>
    </row>
    <row r="14">
      <c r="A14" s="73" t="n">
        <v>13</v>
      </c>
      <c r="B14" s="73" t="inlineStr">
        <is>
          <t>FORTLEV</t>
        </is>
      </c>
      <c r="C14" s="73" t="inlineStr">
        <is>
          <t>Daniel Pessanha Ribeiro</t>
        </is>
      </c>
      <c r="D14" s="73" t="inlineStr">
        <is>
          <t>PL Supply Analyst</t>
        </is>
      </c>
      <c r="E14" s="73" t="inlineStr">
        <is>
          <t>Supplies</t>
        </is>
      </c>
      <c r="F14" s="73" t="n"/>
      <c r="G14" s="73" t="n"/>
      <c r="H14" s="73" t="n"/>
      <c r="I14" s="73" t="n"/>
      <c r="J14" s="73" t="inlineStr">
        <is>
          <t>New</t>
        </is>
      </c>
      <c r="K14" s="73" t="inlineStr">
        <is>
          <t>Medium</t>
        </is>
      </c>
      <c r="P14" s="74" t="n"/>
      <c r="Q14" s="73" t="n"/>
      <c r="R14" s="73" t="n"/>
      <c r="S14" s="73" t="inlineStr">
        <is>
          <t>Apollo+LinkedIn</t>
        </is>
      </c>
      <c r="T14" s="73" t="inlineStr">
        <is>
          <t>SAP MM e FI — inbound e-procurement</t>
        </is>
      </c>
      <c r="U14" s="74" t="n"/>
      <c r="V14" s="74" t="n"/>
      <c r="W14" s="74" t="inlineStr">
        <is>
          <t>FORTLEV</t>
        </is>
      </c>
      <c r="X14" s="73" t="n"/>
      <c r="Y14" s="73" t="n"/>
      <c r="Z14" s="73" t="n"/>
      <c r="AA14" s="73" t="n"/>
      <c r="AB14" s="73" t="n"/>
      <c r="AC14" s="73" t="n"/>
      <c r="AD14" s="75" t="n">
        <v>46093</v>
      </c>
      <c r="AE14" s="73" t="n"/>
      <c r="AF14" s="73" t="n"/>
    </row>
    <row r="15">
      <c r="A15" s="76" t="n">
        <v>14</v>
      </c>
      <c r="B15" s="76" t="inlineStr">
        <is>
          <t>FORTLEV</t>
        </is>
      </c>
      <c r="C15" s="76" t="inlineStr">
        <is>
          <t>Braulio Brito</t>
        </is>
      </c>
      <c r="D15" s="76" t="inlineStr">
        <is>
          <t>Full Supply Analyst</t>
        </is>
      </c>
      <c r="E15" s="76" t="inlineStr">
        <is>
          <t>Supplies</t>
        </is>
      </c>
      <c r="F15" s="76" t="n"/>
      <c r="G15" s="76" t="n"/>
      <c r="H15" s="76" t="n"/>
      <c r="I15" s="76" t="n"/>
      <c r="J15" s="76" t="inlineStr">
        <is>
          <t>New</t>
        </is>
      </c>
      <c r="K15" s="76" t="inlineStr">
        <is>
          <t>Medium</t>
        </is>
      </c>
      <c r="P15" s="77" t="n"/>
      <c r="Q15" s="76" t="n"/>
      <c r="R15" s="76" t="n"/>
      <c r="S15" s="76" t="inlineStr">
        <is>
          <t>Apollo+LinkedIn</t>
        </is>
      </c>
      <c r="T15" s="76" t="inlineStr">
        <is>
          <t>Compras estratégicas — materiais siderúrgicos</t>
        </is>
      </c>
      <c r="U15" s="77" t="n"/>
      <c r="V15" s="77" t="n"/>
      <c r="W15" s="77" t="inlineStr">
        <is>
          <t>FORTLEV</t>
        </is>
      </c>
      <c r="X15" s="76" t="n"/>
      <c r="Y15" s="76" t="n"/>
      <c r="Z15" s="76" t="n"/>
      <c r="AA15" s="76" t="n"/>
      <c r="AB15" s="76" t="n"/>
      <c r="AC15" s="76" t="n"/>
      <c r="AD15" s="78" t="n">
        <v>46093</v>
      </c>
      <c r="AE15" s="76" t="n"/>
      <c r="AF15" s="76" t="n"/>
    </row>
    <row r="16">
      <c r="A16" s="73" t="n">
        <v>15</v>
      </c>
      <c r="B16" s="73" t="inlineStr">
        <is>
          <t>FORTLEV</t>
        </is>
      </c>
      <c r="C16" s="73" t="inlineStr">
        <is>
          <t>Lorenza</t>
        </is>
      </c>
      <c r="D16" s="73" t="inlineStr">
        <is>
          <t>Supply Analyst</t>
        </is>
      </c>
      <c r="E16" s="73" t="inlineStr">
        <is>
          <t>Supplies</t>
        </is>
      </c>
      <c r="F16" s="73" t="n"/>
      <c r="G16" s="73" t="n"/>
      <c r="H16" s="73" t="n"/>
      <c r="I16" s="73" t="n"/>
      <c r="J16" s="73" t="inlineStr">
        <is>
          <t>New</t>
        </is>
      </c>
      <c r="K16" s="73" t="inlineStr">
        <is>
          <t>Low</t>
        </is>
      </c>
      <c r="P16" s="74" t="n"/>
      <c r="Q16" s="73" t="n"/>
      <c r="R16" s="73" t="n"/>
      <c r="S16" s="73" t="inlineStr">
        <is>
          <t>Apollo</t>
        </is>
      </c>
      <c r="T16" s="73" t="n"/>
      <c r="U16" s="74" t="n"/>
      <c r="V16" s="74" t="n"/>
      <c r="W16" s="74" t="inlineStr">
        <is>
          <t>FORTLEV</t>
        </is>
      </c>
      <c r="X16" s="73" t="n"/>
      <c r="Y16" s="73" t="n"/>
      <c r="Z16" s="73" t="n"/>
      <c r="AA16" s="73" t="n"/>
      <c r="AB16" s="73" t="n"/>
      <c r="AC16" s="73" t="n"/>
      <c r="AD16" s="75" t="n">
        <v>46093</v>
      </c>
      <c r="AE16" s="73" t="n"/>
      <c r="AF16" s="73" t="n"/>
    </row>
    <row r="17">
      <c r="A17" s="76" t="n">
        <v>16</v>
      </c>
      <c r="B17" s="76" t="inlineStr">
        <is>
          <t>FORTLEV</t>
        </is>
      </c>
      <c r="C17" s="76" t="inlineStr">
        <is>
          <t>Mathews José Peixoto de Oliveira</t>
        </is>
      </c>
      <c r="D17" s="76" t="inlineStr">
        <is>
          <t>Maintenance Planning and Control Analyst</t>
        </is>
      </c>
      <c r="E17" s="76" t="inlineStr">
        <is>
          <t>Maintenance</t>
        </is>
      </c>
      <c r="F17" s="76" t="n"/>
      <c r="G17" s="76" t="n"/>
      <c r="H17" s="76" t="n"/>
      <c r="I17" s="76" t="n"/>
      <c r="J17" s="76" t="inlineStr">
        <is>
          <t>New</t>
        </is>
      </c>
      <c r="K17" s="76" t="inlineStr">
        <is>
          <t>Medium</t>
        </is>
      </c>
      <c r="P17" s="77" t="n"/>
      <c r="Q17" s="76" t="n"/>
      <c r="R17" s="76" t="n"/>
      <c r="S17" s="76" t="inlineStr">
        <is>
          <t>Apollo+LinkedIn</t>
        </is>
      </c>
      <c r="T17" s="76" t="inlineStr">
        <is>
          <t>Engenheiro Mecânico — PCM</t>
        </is>
      </c>
      <c r="U17" s="77" t="n"/>
      <c r="V17" s="77" t="n"/>
      <c r="W17" s="77" t="inlineStr">
        <is>
          <t>FORTLEV</t>
        </is>
      </c>
      <c r="X17" s="76" t="n"/>
      <c r="Y17" s="76" t="n"/>
      <c r="Z17" s="76" t="n"/>
      <c r="AA17" s="76" t="n"/>
      <c r="AB17" s="76" t="n"/>
      <c r="AC17" s="76" t="n"/>
      <c r="AD17" s="78" t="n">
        <v>46093</v>
      </c>
      <c r="AE17" s="76" t="n"/>
      <c r="AF17" s="76" t="n"/>
    </row>
    <row r="18">
      <c r="A18" s="73" t="n">
        <v>17</v>
      </c>
      <c r="B18" s="73" t="inlineStr">
        <is>
          <t>FORTLEV</t>
        </is>
      </c>
      <c r="C18" s="73" t="inlineStr">
        <is>
          <t>Nycolle Salles</t>
        </is>
      </c>
      <c r="D18" s="73" t="inlineStr">
        <is>
          <t>Maintenance Engineering</t>
        </is>
      </c>
      <c r="E18" s="73" t="inlineStr">
        <is>
          <t>Maintenance</t>
        </is>
      </c>
      <c r="F18" s="73" t="n"/>
      <c r="G18" s="73" t="n"/>
      <c r="H18" s="73" t="n"/>
      <c r="I18" s="73" t="n"/>
      <c r="J18" s="73" t="inlineStr">
        <is>
          <t>New</t>
        </is>
      </c>
      <c r="K18" s="73" t="inlineStr">
        <is>
          <t>Medium</t>
        </is>
      </c>
      <c r="P18" s="74" t="n"/>
      <c r="Q18" s="73" t="n"/>
      <c r="R18" s="73" t="n"/>
      <c r="S18" s="73" t="inlineStr">
        <is>
          <t>Apollo+LinkedIn</t>
        </is>
      </c>
      <c r="T18" s="73" t="inlineStr">
        <is>
          <t>Mecânica Industrial</t>
        </is>
      </c>
      <c r="U18" s="74" t="n"/>
      <c r="V18" s="74" t="n"/>
      <c r="W18" s="74" t="inlineStr">
        <is>
          <t>FORTLEV</t>
        </is>
      </c>
      <c r="X18" s="73" t="n"/>
      <c r="Y18" s="73" t="n"/>
      <c r="Z18" s="73" t="n"/>
      <c r="AA18" s="73" t="n"/>
      <c r="AB18" s="73" t="n"/>
      <c r="AC18" s="73" t="n"/>
      <c r="AD18" s="75" t="n">
        <v>46093</v>
      </c>
      <c r="AE18" s="73" t="n"/>
      <c r="AF18" s="73" t="n"/>
    </row>
    <row r="19">
      <c r="A19" s="76" t="n">
        <v>18</v>
      </c>
      <c r="B19" s="76" t="inlineStr">
        <is>
          <t>FORTLEV</t>
        </is>
      </c>
      <c r="C19" s="76" t="inlineStr">
        <is>
          <t>Valdiney Soares</t>
        </is>
      </c>
      <c r="D19" s="76" t="inlineStr">
        <is>
          <t>Maintenance Leader</t>
        </is>
      </c>
      <c r="E19" s="76" t="inlineStr">
        <is>
          <t>Maintenance</t>
        </is>
      </c>
      <c r="F19" s="76" t="n"/>
      <c r="G19" s="76" t="n"/>
      <c r="H19" s="76" t="n"/>
      <c r="I19" s="76" t="n"/>
      <c r="J19" s="76" t="inlineStr">
        <is>
          <t>New</t>
        </is>
      </c>
      <c r="K19" s="76" t="inlineStr">
        <is>
          <t>Medium</t>
        </is>
      </c>
      <c r="P19" s="77" t="n"/>
      <c r="Q19" s="76" t="n"/>
      <c r="R19" s="76" t="n"/>
      <c r="S19" s="76" t="inlineStr">
        <is>
          <t>Apollo+LinkedIn</t>
        </is>
      </c>
      <c r="T19" s="76" t="n"/>
      <c r="U19" s="77" t="n"/>
      <c r="V19" s="77" t="n"/>
      <c r="W19" s="77" t="inlineStr">
        <is>
          <t>FORTLEV</t>
        </is>
      </c>
      <c r="X19" s="76" t="n"/>
      <c r="Y19" s="76" t="n"/>
      <c r="Z19" s="76" t="n"/>
      <c r="AA19" s="76" t="n"/>
      <c r="AB19" s="76" t="n"/>
      <c r="AC19" s="76" t="n"/>
      <c r="AD19" s="78" t="n">
        <v>46093</v>
      </c>
      <c r="AE19" s="76" t="n"/>
      <c r="AF19" s="76" t="n"/>
    </row>
    <row r="20">
      <c r="A20" s="73" t="n">
        <v>19</v>
      </c>
      <c r="B20" s="73" t="inlineStr">
        <is>
          <t>FORTLEV</t>
        </is>
      </c>
      <c r="C20" s="73" t="inlineStr">
        <is>
          <t>Luan Batista</t>
        </is>
      </c>
      <c r="D20" s="73" t="inlineStr">
        <is>
          <t>Maintenance Coordinator</t>
        </is>
      </c>
      <c r="E20" s="73" t="inlineStr">
        <is>
          <t>Maintenance</t>
        </is>
      </c>
      <c r="F20" s="73" t="n"/>
      <c r="G20" s="73" t="n"/>
      <c r="H20" s="73" t="n"/>
      <c r="I20" s="73" t="n"/>
      <c r="J20" s="73" t="inlineStr">
        <is>
          <t>New</t>
        </is>
      </c>
      <c r="K20" s="73" t="inlineStr">
        <is>
          <t>Medium</t>
        </is>
      </c>
      <c r="P20" s="74" t="n"/>
      <c r="Q20" s="73" t="n"/>
      <c r="R20" s="73" t="n"/>
      <c r="S20" s="73" t="inlineStr">
        <is>
          <t>Apollo+LinkedIn</t>
        </is>
      </c>
      <c r="T20" s="73" t="inlineStr">
        <is>
          <t>Engenheiro mecânico — confiabilidade</t>
        </is>
      </c>
      <c r="U20" s="74" t="n"/>
      <c r="V20" s="74" t="n"/>
      <c r="W20" s="74" t="inlineStr">
        <is>
          <t>FORTLEV</t>
        </is>
      </c>
      <c r="X20" s="73" t="n"/>
      <c r="Y20" s="73" t="n"/>
      <c r="Z20" s="73" t="n"/>
      <c r="AA20" s="73" t="n"/>
      <c r="AB20" s="73" t="n"/>
      <c r="AC20" s="73" t="n"/>
      <c r="AD20" s="75" t="n">
        <v>46093</v>
      </c>
      <c r="AE20" s="73" t="n"/>
      <c r="AF20" s="73" t="n"/>
    </row>
    <row r="21">
      <c r="A21" s="76" t="n">
        <v>20</v>
      </c>
      <c r="B21" s="76" t="inlineStr">
        <is>
          <t>FORTLEV</t>
        </is>
      </c>
      <c r="C21" s="76" t="inlineStr">
        <is>
          <t>Arthur</t>
        </is>
      </c>
      <c r="D21" s="76" t="inlineStr">
        <is>
          <t>Junior PCM Analyst</t>
        </is>
      </c>
      <c r="E21" s="76" t="inlineStr">
        <is>
          <t>Maintenance</t>
        </is>
      </c>
      <c r="F21" s="76" t="n"/>
      <c r="G21" s="76" t="n"/>
      <c r="H21" s="76" t="n"/>
      <c r="I21" s="76" t="n"/>
      <c r="J21" s="76" t="inlineStr">
        <is>
          <t>New</t>
        </is>
      </c>
      <c r="K21" s="76" t="inlineStr">
        <is>
          <t>Low</t>
        </is>
      </c>
      <c r="P21" s="77" t="n"/>
      <c r="Q21" s="76" t="n"/>
      <c r="R21" s="76" t="n"/>
      <c r="S21" s="76" t="inlineStr">
        <is>
          <t>Apollo</t>
        </is>
      </c>
      <c r="T21" s="76" t="n"/>
      <c r="U21" s="77" t="n"/>
      <c r="V21" s="77" t="n"/>
      <c r="W21" s="77" t="inlineStr">
        <is>
          <t>FORTLEV</t>
        </is>
      </c>
      <c r="X21" s="76" t="n"/>
      <c r="Y21" s="76" t="n"/>
      <c r="Z21" s="76" t="n"/>
      <c r="AA21" s="76" t="n"/>
      <c r="AB21" s="76" t="n"/>
      <c r="AC21" s="76" t="n"/>
      <c r="AD21" s="78" t="n">
        <v>46093</v>
      </c>
      <c r="AE21" s="76" t="n"/>
      <c r="AF21" s="76" t="n"/>
    </row>
    <row r="22">
      <c r="A22" s="73" t="n">
        <v>21</v>
      </c>
      <c r="B22" s="73" t="inlineStr">
        <is>
          <t>FORTLEV</t>
        </is>
      </c>
      <c r="C22" s="73" t="inlineStr">
        <is>
          <t>Joao</t>
        </is>
      </c>
      <c r="D22" s="73" t="inlineStr">
        <is>
          <t>Maintenance Electrician</t>
        </is>
      </c>
      <c r="E22" s="73" t="inlineStr">
        <is>
          <t>Maintenance</t>
        </is>
      </c>
      <c r="F22" s="73" t="n"/>
      <c r="G22" s="73" t="n"/>
      <c r="H22" s="73" t="n"/>
      <c r="I22" s="73" t="n"/>
      <c r="J22" s="73" t="inlineStr">
        <is>
          <t>New</t>
        </is>
      </c>
      <c r="K22" s="73" t="inlineStr">
        <is>
          <t>Low</t>
        </is>
      </c>
      <c r="P22" s="74" t="n"/>
      <c r="Q22" s="73" t="n"/>
      <c r="R22" s="73" t="n"/>
      <c r="S22" s="73" t="inlineStr">
        <is>
          <t>Apollo</t>
        </is>
      </c>
      <c r="T22" s="73" t="n"/>
      <c r="U22" s="74" t="n"/>
      <c r="V22" s="74" t="n"/>
      <c r="W22" s="74" t="inlineStr">
        <is>
          <t>FORTLEV</t>
        </is>
      </c>
      <c r="X22" s="73" t="n"/>
      <c r="Y22" s="73" t="n"/>
      <c r="Z22" s="73" t="n"/>
      <c r="AA22" s="73" t="n"/>
      <c r="AB22" s="73" t="n"/>
      <c r="AC22" s="73" t="n"/>
      <c r="AD22" s="75" t="n">
        <v>46093</v>
      </c>
      <c r="AE22" s="73" t="n"/>
      <c r="AF22" s="73" t="n"/>
    </row>
    <row r="23">
      <c r="A23" s="76" t="n">
        <v>22</v>
      </c>
      <c r="B23" s="76" t="inlineStr">
        <is>
          <t>FORTLEV</t>
        </is>
      </c>
      <c r="C23" s="76" t="inlineStr">
        <is>
          <t>Gildasio Oliveira</t>
        </is>
      </c>
      <c r="D23" s="76" t="inlineStr">
        <is>
          <t>Industrial Maintenance Leader</t>
        </is>
      </c>
      <c r="E23" s="76" t="inlineStr">
        <is>
          <t>Maintenance</t>
        </is>
      </c>
      <c r="F23" s="76" t="n"/>
      <c r="G23" s="76" t="n"/>
      <c r="H23" s="76" t="n"/>
      <c r="I23" s="76" t="n"/>
      <c r="J23" s="76" t="inlineStr">
        <is>
          <t>New</t>
        </is>
      </c>
      <c r="K23" s="76" t="inlineStr">
        <is>
          <t>Low</t>
        </is>
      </c>
      <c r="P23" s="77" t="n"/>
      <c r="Q23" s="76" t="n"/>
      <c r="R23" s="76" t="n"/>
      <c r="S23" s="76" t="inlineStr">
        <is>
          <t>Apollo</t>
        </is>
      </c>
      <c r="T23" s="76" t="n"/>
      <c r="U23" s="77" t="n"/>
      <c r="V23" s="77" t="n"/>
      <c r="W23" s="77" t="inlineStr">
        <is>
          <t>FORTLEV</t>
        </is>
      </c>
      <c r="X23" s="76" t="n"/>
      <c r="Y23" s="76" t="n"/>
      <c r="Z23" s="76" t="n"/>
      <c r="AA23" s="76" t="n"/>
      <c r="AB23" s="76" t="n"/>
      <c r="AC23" s="76" t="n"/>
      <c r="AD23" s="78" t="n">
        <v>46093</v>
      </c>
      <c r="AE23" s="76" t="n"/>
      <c r="AF23" s="76" t="n"/>
    </row>
    <row r="24">
      <c r="A24" s="73" t="n">
        <v>23</v>
      </c>
      <c r="B24" s="73" t="inlineStr">
        <is>
          <t>FORTLEV</t>
        </is>
      </c>
      <c r="C24" s="73" t="inlineStr">
        <is>
          <t>Gildasio Oliveira</t>
        </is>
      </c>
      <c r="D24" s="73" t="inlineStr">
        <is>
          <t>Mechanical Maintenance Leader</t>
        </is>
      </c>
      <c r="E24" s="73" t="inlineStr">
        <is>
          <t>Maintenance</t>
        </is>
      </c>
      <c r="F24" s="73" t="n"/>
      <c r="G24" s="73" t="n"/>
      <c r="H24" s="73" t="n"/>
      <c r="I24" s="73" t="n"/>
      <c r="J24" s="73" t="inlineStr">
        <is>
          <t>New</t>
        </is>
      </c>
      <c r="K24" s="73" t="inlineStr">
        <is>
          <t>Low</t>
        </is>
      </c>
      <c r="P24" s="74" t="n"/>
      <c r="Q24" s="73" t="n"/>
      <c r="R24" s="73" t="n"/>
      <c r="S24" s="73" t="inlineStr">
        <is>
          <t>Apollo</t>
        </is>
      </c>
      <c r="T24" s="73" t="inlineStr">
        <is>
          <t>Possível duplicata — validar</t>
        </is>
      </c>
      <c r="U24" s="74" t="n"/>
      <c r="V24" s="74" t="n"/>
      <c r="W24" s="74" t="inlineStr">
        <is>
          <t>FORTLEV</t>
        </is>
      </c>
      <c r="X24" s="73" t="n"/>
      <c r="Y24" s="73" t="n"/>
      <c r="Z24" s="73" t="n"/>
      <c r="AA24" s="73" t="n"/>
      <c r="AB24" s="73" t="n"/>
      <c r="AC24" s="73" t="n"/>
      <c r="AD24" s="75" t="n">
        <v>46093</v>
      </c>
      <c r="AE24" s="73" t="n"/>
      <c r="AF24" s="73" t="n"/>
    </row>
    <row r="25">
      <c r="A25" s="76" t="n">
        <v>24</v>
      </c>
      <c r="B25" s="76" t="inlineStr">
        <is>
          <t>FORTLEV</t>
        </is>
      </c>
      <c r="C25" s="76" t="inlineStr">
        <is>
          <t>Filipe</t>
        </is>
      </c>
      <c r="D25" s="76" t="inlineStr">
        <is>
          <t>Storekeeper</t>
        </is>
      </c>
      <c r="E25" s="76" t="inlineStr">
        <is>
          <t>Warehouse</t>
        </is>
      </c>
      <c r="F25" s="76" t="n"/>
      <c r="G25" s="76" t="n"/>
      <c r="H25" s="76" t="n"/>
      <c r="I25" s="76" t="n"/>
      <c r="J25" s="76" t="inlineStr">
        <is>
          <t>New</t>
        </is>
      </c>
      <c r="K25" s="76" t="inlineStr">
        <is>
          <t>Low</t>
        </is>
      </c>
      <c r="P25" s="77" t="n"/>
      <c r="Q25" s="76" t="n"/>
      <c r="R25" s="76" t="n"/>
      <c r="S25" s="76" t="inlineStr">
        <is>
          <t>Apollo</t>
        </is>
      </c>
      <c r="T25" s="76" t="n"/>
      <c r="U25" s="77" t="n"/>
      <c r="V25" s="77" t="n"/>
      <c r="W25" s="77" t="inlineStr">
        <is>
          <t>FORTLEV</t>
        </is>
      </c>
      <c r="X25" s="76" t="n"/>
      <c r="Y25" s="76" t="n"/>
      <c r="Z25" s="76" t="n"/>
      <c r="AA25" s="76" t="n"/>
      <c r="AB25" s="76" t="n"/>
      <c r="AC25" s="76" t="n"/>
      <c r="AD25" s="78" t="n">
        <v>46093</v>
      </c>
      <c r="AE25" s="76" t="n"/>
      <c r="AF25" s="76" t="n"/>
    </row>
    <row r="26">
      <c r="A26" s="73" t="n">
        <v>25</v>
      </c>
      <c r="B26" s="73" t="inlineStr">
        <is>
          <t>FORTLEV</t>
        </is>
      </c>
      <c r="C26" s="73" t="inlineStr">
        <is>
          <t>Phillipp</t>
        </is>
      </c>
      <c r="D26" s="73" t="inlineStr">
        <is>
          <t>Storekeeper</t>
        </is>
      </c>
      <c r="E26" s="73" t="inlineStr">
        <is>
          <t>Warehouse</t>
        </is>
      </c>
      <c r="F26" s="73" t="n"/>
      <c r="G26" s="73" t="n"/>
      <c r="H26" s="73" t="n"/>
      <c r="I26" s="73" t="n"/>
      <c r="J26" s="73" t="inlineStr">
        <is>
          <t>New</t>
        </is>
      </c>
      <c r="K26" s="73" t="inlineStr">
        <is>
          <t>Low</t>
        </is>
      </c>
      <c r="P26" s="74" t="n"/>
      <c r="Q26" s="73" t="n"/>
      <c r="R26" s="73" t="n"/>
      <c r="S26" s="73" t="inlineStr">
        <is>
          <t>Apollo</t>
        </is>
      </c>
      <c r="T26" s="73" t="n"/>
      <c r="U26" s="74" t="n"/>
      <c r="V26" s="74" t="n"/>
      <c r="W26" s="74" t="inlineStr">
        <is>
          <t>FORTLEV</t>
        </is>
      </c>
      <c r="X26" s="73" t="n"/>
      <c r="Y26" s="73" t="n"/>
      <c r="Z26" s="73" t="n"/>
      <c r="AA26" s="73" t="n"/>
      <c r="AB26" s="73" t="n"/>
      <c r="AC26" s="73" t="n"/>
      <c r="AD26" s="75" t="n">
        <v>46093</v>
      </c>
      <c r="AE26" s="73" t="n"/>
      <c r="AF26" s="73" t="n"/>
    </row>
    <row r="27">
      <c r="A27" s="76" t="n">
        <v>26</v>
      </c>
      <c r="B27" s="76" t="inlineStr">
        <is>
          <t>FORTLEV</t>
        </is>
      </c>
      <c r="C27" s="76" t="inlineStr">
        <is>
          <t>Dioneson</t>
        </is>
      </c>
      <c r="D27" s="76" t="inlineStr">
        <is>
          <t>Storekeeper</t>
        </is>
      </c>
      <c r="E27" s="76" t="inlineStr">
        <is>
          <t>Warehouse</t>
        </is>
      </c>
      <c r="F27" s="76" t="n"/>
      <c r="G27" s="76" t="n"/>
      <c r="H27" s="76" t="n"/>
      <c r="I27" s="76" t="n"/>
      <c r="J27" s="76" t="inlineStr">
        <is>
          <t>New</t>
        </is>
      </c>
      <c r="K27" s="76" t="inlineStr">
        <is>
          <t>Low</t>
        </is>
      </c>
      <c r="P27" s="77" t="n"/>
      <c r="Q27" s="76" t="n"/>
      <c r="R27" s="76" t="n"/>
      <c r="S27" s="76" t="inlineStr">
        <is>
          <t>Apollo</t>
        </is>
      </c>
      <c r="T27" s="76" t="n"/>
      <c r="U27" s="77" t="n"/>
      <c r="V27" s="77" t="n"/>
      <c r="W27" s="77" t="inlineStr">
        <is>
          <t>FORTLEV</t>
        </is>
      </c>
      <c r="X27" s="76" t="n"/>
      <c r="Y27" s="76" t="n"/>
      <c r="Z27" s="76" t="n"/>
      <c r="AA27" s="76" t="n"/>
      <c r="AB27" s="76" t="n"/>
      <c r="AC27" s="76" t="n"/>
      <c r="AD27" s="78" t="n">
        <v>46093</v>
      </c>
      <c r="AE27" s="76" t="n"/>
      <c r="AF27" s="76" t="n"/>
    </row>
    <row r="28" ht="22.8" customHeight="1" s="83">
      <c r="A28" s="73" t="n">
        <v>27</v>
      </c>
      <c r="B28" s="73" t="inlineStr">
        <is>
          <t>AUTVIX</t>
        </is>
      </c>
      <c r="C28" s="73" t="inlineStr">
        <is>
          <t>Marcos Alberto Monfardini Filho</t>
        </is>
      </c>
      <c r="D28" s="73" t="inlineStr">
        <is>
          <t>Owner / Founder</t>
        </is>
      </c>
      <c r="E28" s="73" t="inlineStr">
        <is>
          <t>Board</t>
        </is>
      </c>
      <c r="F28" s="73" t="inlineStr">
        <is>
          <t>marcos@autvix.com.br</t>
        </is>
      </c>
      <c r="G28" s="73" t="inlineStr">
        <is>
          <t>+55 27 3039-6559</t>
        </is>
      </c>
      <c r="H28" s="73" t="inlineStr">
        <is>
          <t>linkedin.com/in/marcos-alberto-monfardini-filho-26211028</t>
        </is>
      </c>
      <c r="I28" s="73" t="n"/>
      <c r="J28" s="73" t="inlineStr">
        <is>
          <t>New</t>
        </is>
      </c>
      <c r="K28" s="73" t="inlineStr">
        <is>
          <t>High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P28" s="74" t="n"/>
      <c r="Q28" s="73" t="n"/>
      <c r="R28" s="73" t="n"/>
      <c r="S28" s="73" t="inlineStr">
        <is>
          <t>Apollo+LinkedIn</t>
        </is>
      </c>
      <c r="T28" s="73" t="inlineStr">
        <is>
          <t>Fundador 2008 — 17 anos, ~160 func, R$9M receita. Automação industrial, NR-10/12, SCADA. Gustavo Zatta é conexão direta → canal quente para 1ª reunião.</t>
        </is>
      </c>
      <c r="U28" s="74" t="n"/>
      <c r="V28" s="74" t="n"/>
      <c r="W28" s="74" t="inlineStr">
        <is>
          <t>AUTVIX ENGENHARIA — Industrial Automation, Serra/ES | ~160 func. | R$9M revenue | autvix.com.br | +55 27 3039-6559</t>
        </is>
      </c>
      <c r="X28" s="73" t="inlineStr">
        <is>
          <t>Industrial Automation</t>
        </is>
      </c>
      <c r="Y28" s="73" t="inlineStr">
        <is>
          <t>Serra/ES</t>
        </is>
      </c>
      <c r="Z28" s="73" t="inlineStr">
        <is>
          <t>~160 functions.</t>
        </is>
      </c>
      <c r="AA28" s="73" t="inlineStr">
        <is>
          <t>R$9M revenue</t>
        </is>
      </c>
      <c r="AB28" s="73" t="inlineStr">
        <is>
          <t>autvix.com.br</t>
        </is>
      </c>
      <c r="AC28" s="73" t="inlineStr">
        <is>
          <t>+55 27 3039-6559</t>
        </is>
      </c>
      <c r="AD28" s="75" t="n">
        <v>46093</v>
      </c>
      <c r="AE28" s="73" t="n"/>
      <c r="AF28" s="73" t="n"/>
    </row>
    <row r="29" ht="22.8" customHeight="1" s="83">
      <c r="A29" s="76" t="n">
        <v>28</v>
      </c>
      <c r="B29" s="76" t="inlineStr">
        <is>
          <t>AUTVIX</t>
        </is>
      </c>
      <c r="C29" s="76" t="inlineStr">
        <is>
          <t>João Milton D. Neto</t>
        </is>
      </c>
      <c r="D29" s="76" t="inlineStr">
        <is>
          <t>Commercial Coordinator</t>
        </is>
      </c>
      <c r="E29" s="76" t="inlineStr">
        <is>
          <t>Commercial</t>
        </is>
      </c>
      <c r="F29" s="76" t="inlineStr">
        <is>
          <t>joao.neto@autvix.com.br</t>
        </is>
      </c>
      <c r="G29" s="76" t="n"/>
      <c r="H29" s="76" t="inlineStr">
        <is>
          <t>linkedin.com/in/joaomdneto-862785186</t>
        </is>
      </c>
      <c r="I29" s="76" t="n"/>
      <c r="J29" s="76" t="inlineStr">
        <is>
          <t>New</t>
        </is>
      </c>
      <c r="K29" s="76" t="inlineStr">
        <is>
          <t>High</t>
        </is>
      </c>
      <c r="L29" t="inlineStr">
        <is>
          <t>Yes</t>
        </is>
      </c>
      <c r="N29" t="inlineStr">
        <is>
          <t>Yes</t>
        </is>
      </c>
      <c r="P29" s="77" t="n"/>
      <c r="Q29" s="76" t="n"/>
      <c r="R29" s="76" t="n"/>
      <c r="S29" s="76" t="inlineStr">
        <is>
          <t>Apollo+LinkedIn</t>
        </is>
      </c>
      <c r="T29" s="76" t="inlineStr">
        <is>
          <t>Eng. Elétrico + MBA Gestão da Manutenção. Ponto de entrada comercial da Autvix. Gustavo tem conexão direta — usar como warm intro.</t>
        </is>
      </c>
      <c r="U29" s="77" t="n"/>
      <c r="V29" s="77" t="n"/>
      <c r="W29" s="77" t="inlineStr">
        <is>
          <t>AUTVIX ENGENHARIA — Industrial Automation, Serra/ES | ~160 func. | R$9M revenue | autvix.com.br | +55 27 3039-6559</t>
        </is>
      </c>
      <c r="X29" s="76" t="inlineStr">
        <is>
          <t>Industrial Automation</t>
        </is>
      </c>
      <c r="Y29" s="76" t="inlineStr">
        <is>
          <t>Serra/ES</t>
        </is>
      </c>
      <c r="Z29" s="76" t="inlineStr">
        <is>
          <t>~160 functions.</t>
        </is>
      </c>
      <c r="AA29" s="76" t="inlineStr">
        <is>
          <t>R$9M revenue</t>
        </is>
      </c>
      <c r="AB29" s="76" t="inlineStr">
        <is>
          <t>autvix.com.br</t>
        </is>
      </c>
      <c r="AC29" s="76" t="inlineStr">
        <is>
          <t>+55 27 3039-6559</t>
        </is>
      </c>
      <c r="AD29" s="78" t="n">
        <v>46093</v>
      </c>
      <c r="AE29" s="76" t="n"/>
      <c r="AF29" s="76" t="n"/>
    </row>
    <row r="30" ht="22.8" customHeight="1" s="83">
      <c r="A30" s="73" t="n">
        <v>29</v>
      </c>
      <c r="B30" s="73" t="inlineStr">
        <is>
          <t>AUTVIX</t>
        </is>
      </c>
      <c r="C30" s="73" t="inlineStr">
        <is>
          <t>Talyson R. Libardi</t>
        </is>
      </c>
      <c r="D30" s="73" t="inlineStr">
        <is>
          <t>Electrical Engineer — Specialist NR-12</t>
        </is>
      </c>
      <c r="E30" s="73" t="inlineStr">
        <is>
          <t>Security/Projects</t>
        </is>
      </c>
      <c r="F30" s="73" t="n"/>
      <c r="G30" s="73" t="n"/>
      <c r="H30" s="73" t="n"/>
      <c r="I30" s="73" t="n"/>
      <c r="J30" s="73" t="inlineStr">
        <is>
          <t>New</t>
        </is>
      </c>
      <c r="K30" s="73" t="inlineStr">
        <is>
          <t>High</t>
        </is>
      </c>
      <c r="P30" s="74" t="n"/>
      <c r="Q30" s="73" t="n"/>
      <c r="R30" s="73" t="n"/>
      <c r="S30" s="73" t="inlineStr">
        <is>
          <t>LinkedIn</t>
        </is>
      </c>
      <c r="T30" s="73" t="inlineStr">
        <is>
          <t>CMSE® — manutenção + segurança de máquinas. Perfil técnico ideal para Functional Safety e Man Power Support em projetos NR-12.</t>
        </is>
      </c>
      <c r="U30" s="74" t="n"/>
      <c r="V30" s="74" t="n"/>
      <c r="W30" s="74" t="inlineStr">
        <is>
          <t>AUTVIX ENGENHARIA — Industrial Automation, Serra/ES | ~160 func. | R$9M revenue | autvix.com.br | +55 27 3039-6559</t>
        </is>
      </c>
      <c r="X30" s="73" t="inlineStr">
        <is>
          <t>Industrial Automation</t>
        </is>
      </c>
      <c r="Y30" s="73" t="inlineStr">
        <is>
          <t>Serra/ES</t>
        </is>
      </c>
      <c r="Z30" s="73" t="inlineStr">
        <is>
          <t>~160 functions.</t>
        </is>
      </c>
      <c r="AA30" s="73" t="inlineStr">
        <is>
          <t>R$9M revenue</t>
        </is>
      </c>
      <c r="AB30" s="73" t="inlineStr">
        <is>
          <t>autvix.com.br</t>
        </is>
      </c>
      <c r="AC30" s="73" t="inlineStr">
        <is>
          <t>+55 27 3039-6559</t>
        </is>
      </c>
      <c r="AD30" s="75" t="n">
        <v>46093</v>
      </c>
      <c r="AE30" s="73" t="n"/>
      <c r="AF30" s="73" t="n"/>
    </row>
    <row r="31" ht="22.8" customHeight="1" s="83">
      <c r="A31" s="76" t="n">
        <v>30</v>
      </c>
      <c r="B31" s="76" t="inlineStr">
        <is>
          <t>AUTVIX</t>
        </is>
      </c>
      <c r="C31" s="76" t="inlineStr">
        <is>
          <t>Rafael Silveira</t>
        </is>
      </c>
      <c r="D31" s="76" t="inlineStr">
        <is>
          <t>Project Coordinator</t>
        </is>
      </c>
      <c r="E31" s="76" t="inlineStr">
        <is>
          <t>Projects/Security</t>
        </is>
      </c>
      <c r="F31" s="76" t="n"/>
      <c r="G31" s="76" t="n"/>
      <c r="H31" s="76" t="n"/>
      <c r="I31" s="76" t="n"/>
      <c r="J31" s="76" t="inlineStr">
        <is>
          <t>New</t>
        </is>
      </c>
      <c r="K31" s="76" t="inlineStr">
        <is>
          <t>High</t>
        </is>
      </c>
      <c r="P31" s="77" t="n"/>
      <c r="Q31" s="76" t="n"/>
      <c r="R31" s="76" t="n"/>
      <c r="S31" s="76" t="inlineStr">
        <is>
          <t>LinkedIn</t>
        </is>
      </c>
      <c r="T31" s="76" t="inlineStr">
        <is>
          <t>Especialista Segurança de Máquinas, NR-12, Gestão de Riscos, Coordenação de Projetos. 18 conexões em comum. Aderência alta para Functional Safety e Projects.</t>
        </is>
      </c>
      <c r="U31" s="77" t="n"/>
      <c r="V31" s="77" t="n"/>
      <c r="W31" s="77" t="inlineStr">
        <is>
          <t>AUTVIX ENGENHARIA — Industrial Automation, Serra/ES | ~160 func. | R$9M revenue | autvix.com.br | +55 27 3039-6559</t>
        </is>
      </c>
      <c r="X31" s="76" t="inlineStr">
        <is>
          <t>Industrial Automation</t>
        </is>
      </c>
      <c r="Y31" s="76" t="inlineStr">
        <is>
          <t>Serra/ES</t>
        </is>
      </c>
      <c r="Z31" s="76" t="inlineStr">
        <is>
          <t>~160 functions.</t>
        </is>
      </c>
      <c r="AA31" s="76" t="inlineStr">
        <is>
          <t>R$9M revenue</t>
        </is>
      </c>
      <c r="AB31" s="76" t="inlineStr">
        <is>
          <t>autvix.com.br</t>
        </is>
      </c>
      <c r="AC31" s="76" t="inlineStr">
        <is>
          <t>+55 27 3039-6559</t>
        </is>
      </c>
      <c r="AD31" s="78" t="n">
        <v>46093</v>
      </c>
      <c r="AE31" s="76" t="n"/>
      <c r="AF31" s="76" t="n"/>
    </row>
    <row r="32" ht="22.8" customHeight="1" s="83">
      <c r="A32" s="73" t="n">
        <v>31</v>
      </c>
      <c r="B32" s="73" t="inlineStr">
        <is>
          <t>AUTVIX</t>
        </is>
      </c>
      <c r="C32" s="73" t="inlineStr">
        <is>
          <t>Marcus Stefano Bontia</t>
        </is>
      </c>
      <c r="D32" s="73" t="inlineStr">
        <is>
          <t>Project Coordinator</t>
        </is>
      </c>
      <c r="E32" s="73" t="inlineStr">
        <is>
          <t>Projects</t>
        </is>
      </c>
      <c r="F32" s="73" t="n"/>
      <c r="G32" s="73" t="n"/>
      <c r="H32" s="73" t="n"/>
      <c r="I32" s="73" t="n"/>
      <c r="J32" s="73" t="inlineStr">
        <is>
          <t>New</t>
        </is>
      </c>
      <c r="K32" s="73" t="inlineStr">
        <is>
          <t>Medium</t>
        </is>
      </c>
      <c r="P32" s="74" t="n"/>
      <c r="Q32" s="73" t="n"/>
      <c r="R32" s="73" t="n"/>
      <c r="S32" s="73" t="inlineStr">
        <is>
          <t>LinkedIn</t>
        </is>
      </c>
      <c r="T32" s="73" t="inlineStr">
        <is>
          <t>1k seguidores. Coordenação de projetos industriais na Autvix. Abordar para Man Power Support e Projects.</t>
        </is>
      </c>
      <c r="U32" s="74" t="n"/>
      <c r="V32" s="74" t="n"/>
      <c r="W32" s="74" t="inlineStr">
        <is>
          <t>AUTVIX ENGENHARIA — Industrial Automation, Serra/ES | ~160 func. | R$9M revenue | autvix.com.br | +55 27 3039-6559</t>
        </is>
      </c>
      <c r="X32" s="73" t="inlineStr">
        <is>
          <t>Industrial Automation</t>
        </is>
      </c>
      <c r="Y32" s="73" t="inlineStr">
        <is>
          <t>Serra/ES</t>
        </is>
      </c>
      <c r="Z32" s="73" t="inlineStr">
        <is>
          <t>~160 functions.</t>
        </is>
      </c>
      <c r="AA32" s="73" t="inlineStr">
        <is>
          <t>R$9M revenue</t>
        </is>
      </c>
      <c r="AB32" s="73" t="inlineStr">
        <is>
          <t>autvix.com.br</t>
        </is>
      </c>
      <c r="AC32" s="73" t="inlineStr">
        <is>
          <t>+55 27 3039-6559</t>
        </is>
      </c>
      <c r="AD32" s="75" t="n">
        <v>46093</v>
      </c>
      <c r="AE32" s="73" t="n"/>
      <c r="AF32" s="73" t="n"/>
    </row>
    <row r="33" ht="22.8" customHeight="1" s="83">
      <c r="A33" s="76" t="n">
        <v>32</v>
      </c>
      <c r="B33" s="76" t="inlineStr">
        <is>
          <t>AUTVIX</t>
        </is>
      </c>
      <c r="C33" s="76" t="inlineStr">
        <is>
          <t>Thales Sperandio</t>
        </is>
      </c>
      <c r="D33" s="76" t="inlineStr">
        <is>
          <t>Supply and Controlling Coordinator</t>
        </is>
      </c>
      <c r="E33" s="76" t="inlineStr">
        <is>
          <t>Supplies</t>
        </is>
      </c>
      <c r="F33" s="76" t="n"/>
      <c r="G33" s="76" t="n"/>
      <c r="H33" s="76" t="n"/>
      <c r="I33" s="76" t="n"/>
      <c r="J33" s="76" t="inlineStr">
        <is>
          <t>New</t>
        </is>
      </c>
      <c r="K33" s="76" t="inlineStr">
        <is>
          <t>Medium</t>
        </is>
      </c>
      <c r="P33" s="77" t="n"/>
      <c r="Q33" s="76" t="n"/>
      <c r="R33" s="76" t="n"/>
      <c r="S33" s="76" t="inlineStr">
        <is>
          <t>LinkedIn</t>
        </is>
      </c>
      <c r="T33" s="76" t="inlineStr">
        <is>
          <t>Suprimentos e controladoria. Angle de compras de serviços de engenharia.</t>
        </is>
      </c>
      <c r="U33" s="77" t="n"/>
      <c r="V33" s="77" t="n"/>
      <c r="W33" s="77" t="inlineStr">
        <is>
          <t>AUTVIX ENGENHARIA — Industrial Automation, Serra/ES | ~160 func. | R$9M revenue | autvix.com.br | +55 27 3039-6559</t>
        </is>
      </c>
      <c r="X33" s="76" t="inlineStr">
        <is>
          <t>Industrial Automation</t>
        </is>
      </c>
      <c r="Y33" s="76" t="inlineStr">
        <is>
          <t>Serra/ES</t>
        </is>
      </c>
      <c r="Z33" s="76" t="inlineStr">
        <is>
          <t>~160 functions.</t>
        </is>
      </c>
      <c r="AA33" s="76" t="inlineStr">
        <is>
          <t>R$9M revenue</t>
        </is>
      </c>
      <c r="AB33" s="76" t="inlineStr">
        <is>
          <t>autvix.com.br</t>
        </is>
      </c>
      <c r="AC33" s="76" t="inlineStr">
        <is>
          <t>+55 27 3039-6559</t>
        </is>
      </c>
      <c r="AD33" s="78" t="n">
        <v>46093</v>
      </c>
      <c r="AE33" s="76" t="n"/>
      <c r="AF33" s="76" t="n"/>
    </row>
    <row r="34" ht="22.8" customHeight="1" s="83">
      <c r="A34" s="73" t="n">
        <v>33</v>
      </c>
      <c r="B34" s="73" t="inlineStr">
        <is>
          <t>AUTVIX</t>
        </is>
      </c>
      <c r="C34" s="73" t="inlineStr">
        <is>
          <t>Thaiany Antunes</t>
        </is>
      </c>
      <c r="D34" s="73" t="inlineStr">
        <is>
          <t>Full Planning Analyst III</t>
        </is>
      </c>
      <c r="E34" s="73" t="inlineStr">
        <is>
          <t>Planning</t>
        </is>
      </c>
      <c r="F34" s="73" t="n"/>
      <c r="G34" s="73" t="n"/>
      <c r="H34" s="73" t="n"/>
      <c r="I34" s="73" t="n"/>
      <c r="J34" s="73" t="inlineStr">
        <is>
          <t>New</t>
        </is>
      </c>
      <c r="K34" s="73" t="inlineStr">
        <is>
          <t>Medium</t>
        </is>
      </c>
      <c r="P34" s="74" t="n"/>
      <c r="Q34" s="73" t="n"/>
      <c r="R34" s="73" t="n"/>
      <c r="S34" s="73" t="inlineStr">
        <is>
          <t>LinkedIn</t>
        </is>
      </c>
      <c r="T34" s="73" t="inlineStr">
        <is>
          <t>Planejamento, Gestão, Projetos, Contratos, Qualidade, Auditoria. Conexão com Gustavo Rodrigues (em comum).</t>
        </is>
      </c>
      <c r="U34" s="74" t="n"/>
      <c r="V34" s="74" t="n"/>
      <c r="W34" s="74" t="inlineStr">
        <is>
          <t>AUTVIX ENGENHARIA — Industrial Automation, Serra/ES | ~160 func. | R$9M revenue | autvix.com.br | +55 27 3039-6559</t>
        </is>
      </c>
      <c r="X34" s="73" t="inlineStr">
        <is>
          <t>Industrial Automation</t>
        </is>
      </c>
      <c r="Y34" s="73" t="inlineStr">
        <is>
          <t>Serra/ES</t>
        </is>
      </c>
      <c r="Z34" s="73" t="inlineStr">
        <is>
          <t>~160 functions.</t>
        </is>
      </c>
      <c r="AA34" s="73" t="inlineStr">
        <is>
          <t>R$9M revenue</t>
        </is>
      </c>
      <c r="AB34" s="73" t="inlineStr">
        <is>
          <t>autvix.com.br</t>
        </is>
      </c>
      <c r="AC34" s="73" t="inlineStr">
        <is>
          <t>+55 27 3039-6559</t>
        </is>
      </c>
      <c r="AD34" s="75" t="n">
        <v>46093</v>
      </c>
      <c r="AE34" s="73" t="n"/>
      <c r="AF34" s="73" t="n"/>
    </row>
    <row r="35" ht="22.8" customHeight="1" s="83">
      <c r="A35" s="76" t="n">
        <v>34</v>
      </c>
      <c r="B35" s="76" t="inlineStr">
        <is>
          <t>AUTVIX</t>
        </is>
      </c>
      <c r="C35" s="76" t="inlineStr">
        <is>
          <t>Krystyan Lourenço da Silva</t>
        </is>
      </c>
      <c r="D35" s="76" t="inlineStr">
        <is>
          <t>Industrial Automation Assistant</t>
        </is>
      </c>
      <c r="E35" s="76" t="inlineStr">
        <is>
          <t>Automation</t>
        </is>
      </c>
      <c r="F35" s="76" t="n"/>
      <c r="G35" s="76" t="n"/>
      <c r="H35" s="76" t="n"/>
      <c r="I35" s="76" t="n"/>
      <c r="J35" s="76" t="inlineStr">
        <is>
          <t>New</t>
        </is>
      </c>
      <c r="K35" s="76" t="inlineStr">
        <is>
          <t>Low</t>
        </is>
      </c>
      <c r="P35" s="77" t="n"/>
      <c r="Q35" s="76" t="n"/>
      <c r="R35" s="76" t="n"/>
      <c r="S35" s="76" t="inlineStr">
        <is>
          <t>LinkedIn</t>
        </is>
      </c>
      <c r="T35" s="76" t="inlineStr">
        <is>
          <t>Técnico em automação industrial. Perfil operacional — aderência para Man Power Support.</t>
        </is>
      </c>
      <c r="U35" s="77" t="n"/>
      <c r="V35" s="77" t="n"/>
      <c r="W35" s="77" t="inlineStr">
        <is>
          <t>AUTVIX ENGENHARIA — Industrial Automation, Serra/ES | ~160 func. | R$9M revenue | autvix.com.br | +55 27 3039-6559</t>
        </is>
      </c>
      <c r="X35" s="76" t="inlineStr">
        <is>
          <t>Industrial Automation</t>
        </is>
      </c>
      <c r="Y35" s="76" t="inlineStr">
        <is>
          <t>Serra/ES</t>
        </is>
      </c>
      <c r="Z35" s="76" t="inlineStr">
        <is>
          <t>~160 functions.</t>
        </is>
      </c>
      <c r="AA35" s="76" t="inlineStr">
        <is>
          <t>R$9M revenue</t>
        </is>
      </c>
      <c r="AB35" s="76" t="inlineStr">
        <is>
          <t>autvix.com.br</t>
        </is>
      </c>
      <c r="AC35" s="76" t="inlineStr">
        <is>
          <t>+55 27 3039-6559</t>
        </is>
      </c>
      <c r="AD35" s="78" t="n">
        <v>46093</v>
      </c>
      <c r="AE35" s="76" t="n"/>
      <c r="AF35" s="76" t="n"/>
    </row>
    <row r="36" ht="22.8" customHeight="1" s="83">
      <c r="A36" s="73" t="n">
        <v>35</v>
      </c>
      <c r="B36" s="73" t="inlineStr">
        <is>
          <t>AUTVIX</t>
        </is>
      </c>
      <c r="C36" s="73" t="inlineStr">
        <is>
          <t>Raiane Alves Milanez</t>
        </is>
      </c>
      <c r="D36" s="73" t="inlineStr">
        <is>
          <t>Administrative Analyst</t>
        </is>
      </c>
      <c r="E36" s="73" t="inlineStr">
        <is>
          <t>Administrative</t>
        </is>
      </c>
      <c r="F36" s="73" t="n"/>
      <c r="G36" s="73" t="n"/>
      <c r="H36" s="73" t="n"/>
      <c r="I36" s="73" t="n"/>
      <c r="J36" s="73" t="inlineStr">
        <is>
          <t>New</t>
        </is>
      </c>
      <c r="K36" s="73" t="inlineStr">
        <is>
          <t>Low</t>
        </is>
      </c>
      <c r="P36" s="74" t="n"/>
      <c r="Q36" s="73" t="n"/>
      <c r="R36" s="73" t="n"/>
      <c r="S36" s="73" t="inlineStr">
        <is>
          <t>LinkedIn</t>
        </is>
      </c>
      <c r="T36" s="73" t="inlineStr">
        <is>
          <t>Analista administrativo e prestação de contas. Menor aderência com ICP Apeiron.</t>
        </is>
      </c>
      <c r="U36" s="74" t="n"/>
      <c r="V36" s="74" t="n"/>
      <c r="W36" s="74" t="inlineStr">
        <is>
          <t>AUTVIX ENGENHARIA — Industrial Automation, Serra/ES | ~160 func. | R$9M revenue | autvix.com.br | +55 27 3039-6559</t>
        </is>
      </c>
      <c r="X36" s="73" t="inlineStr">
        <is>
          <t>Industrial Automation</t>
        </is>
      </c>
      <c r="Y36" s="73" t="inlineStr">
        <is>
          <t>Serra/ES</t>
        </is>
      </c>
      <c r="Z36" s="73" t="inlineStr">
        <is>
          <t>~160 functions.</t>
        </is>
      </c>
      <c r="AA36" s="73" t="inlineStr">
        <is>
          <t>R$9M revenue</t>
        </is>
      </c>
      <c r="AB36" s="73" t="inlineStr">
        <is>
          <t>autvix.com.br</t>
        </is>
      </c>
      <c r="AC36" s="73" t="inlineStr">
        <is>
          <t>+55 27 3039-6559</t>
        </is>
      </c>
      <c r="AD36" s="75" t="n">
        <v>46093</v>
      </c>
      <c r="AE36" s="73" t="n"/>
      <c r="AF36" s="73" t="n"/>
    </row>
    <row r="37" ht="34.2" customHeight="1" s="83">
      <c r="A37" s="76" t="n">
        <v>36</v>
      </c>
      <c r="B37" s="76" t="inlineStr">
        <is>
          <t>SAMARCO</t>
        </is>
      </c>
      <c r="C37" s="76" t="inlineStr">
        <is>
          <t>Hilcker Scopel</t>
        </is>
      </c>
      <c r="D37" s="76" t="inlineStr">
        <is>
          <t>Maintenance Coordinator</t>
        </is>
      </c>
      <c r="E37" s="76" t="inlineStr">
        <is>
          <t>Maintenance</t>
        </is>
      </c>
      <c r="F37" s="76" t="inlineStr">
        <is>
          <t>hilckersco@samarco.com</t>
        </is>
      </c>
      <c r="G37" s="76" t="inlineStr">
        <is>
          <t>+55 800 033 8485</t>
        </is>
      </c>
      <c r="H37" s="76" t="inlineStr">
        <is>
          <t>linkedin.com/in/hilcker-scopel-62397052</t>
        </is>
      </c>
      <c r="I37" s="76" t="n"/>
      <c r="J37" s="76" t="inlineStr">
        <is>
          <t>New</t>
        </is>
      </c>
      <c r="K37" s="76" t="inlineStr">
        <is>
          <t>High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P37" s="77" t="n"/>
      <c r="Q37" s="76" t="n"/>
      <c r="R37" s="76" t="n"/>
      <c r="S37" s="76" t="inlineStr">
        <is>
          <t>Apollo+LinkedIn</t>
        </is>
      </c>
      <c r="T37" s="76" t="inlineStr">
        <is>
          <t>Coord. Manutenção (2025). Antes: Eng. Confiabilidade por 6 anos. Samarco hub Ubu/Anchieta — grande demandante de serviços industriais. Aderência alta.</t>
        </is>
      </c>
      <c r="U37" s="77" t="n"/>
      <c r="V37" s="77" t="n"/>
      <c r="W37" s="77" t="inlineStr">
        <is>
          <t>SAMARCO MINERAÇÃO — Mining/Pelotization, Guarapari/Anchieta, ES | ~3,600 functions. | R$1.3B receita | samarco.com | +55 800 033 8485</t>
        </is>
      </c>
      <c r="X37" s="76" t="inlineStr">
        <is>
          <t>Mining/Pelletization, Guarapari/Anchieta</t>
        </is>
      </c>
      <c r="Y37" s="76" t="inlineStr">
        <is>
          <t>ES</t>
        </is>
      </c>
      <c r="Z37" s="76" t="inlineStr">
        <is>
          <t>~3,600 functions.</t>
        </is>
      </c>
      <c r="AA37" s="76" t="inlineStr">
        <is>
          <t>R$1.3B revenue</t>
        </is>
      </c>
      <c r="AB37" s="76" t="inlineStr">
        <is>
          <t>samarco.com</t>
        </is>
      </c>
      <c r="AC37" s="76" t="inlineStr">
        <is>
          <t>+55 800 033 8485</t>
        </is>
      </c>
      <c r="AD37" s="78" t="n">
        <v>46093</v>
      </c>
      <c r="AE37" s="76" t="n"/>
      <c r="AF37" s="76" t="n"/>
    </row>
    <row r="38" ht="34.2" customHeight="1" s="83">
      <c r="A38" s="73" t="n">
        <v>37</v>
      </c>
      <c r="B38" s="73" t="inlineStr">
        <is>
          <t>SAMARCO</t>
        </is>
      </c>
      <c r="C38" s="73" t="inlineStr">
        <is>
          <t>Pedro Vieira</t>
        </is>
      </c>
      <c r="D38" s="73" t="inlineStr">
        <is>
          <t>Maintenance Coordinator</t>
        </is>
      </c>
      <c r="E38" s="73" t="inlineStr">
        <is>
          <t>Maintenance</t>
        </is>
      </c>
      <c r="F38" s="73" t="inlineStr">
        <is>
          <t>pedro.vieira@samarco.com</t>
        </is>
      </c>
      <c r="G38" s="73" t="inlineStr">
        <is>
          <t>+55 800 033 8485</t>
        </is>
      </c>
      <c r="H38" s="73" t="inlineStr">
        <is>
          <t>linkedin.com/in/pedro-paulo-moura-vieira</t>
        </is>
      </c>
      <c r="I38" s="73" t="n"/>
      <c r="J38" s="73" t="inlineStr">
        <is>
          <t>New</t>
        </is>
      </c>
      <c r="K38" s="73" t="inlineStr">
        <is>
          <t>High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P38" s="74" t="n"/>
      <c r="Q38" s="73" t="n"/>
      <c r="R38" s="73" t="n"/>
      <c r="S38" s="73" t="inlineStr">
        <is>
          <t>Apollo+LinkedIn</t>
        </is>
      </c>
      <c r="T38" s="73" t="inlineStr">
        <is>
          <t>Coord. Manutenção desde 2021. Background em processo de pelotização. Decisor operacional com histórico de 10+ anos na Samarco.</t>
        </is>
      </c>
      <c r="U38" s="74" t="n"/>
      <c r="V38" s="74" t="n"/>
      <c r="W38" s="74" t="inlineStr">
        <is>
          <t>SAMARCO MINERAÇÃO — Mining/Pelotization, Guarapari/Anchieta, ES | ~3,600 functions. | R$1.3B receita | samarco.com | +55 800 033 8485</t>
        </is>
      </c>
      <c r="X38" s="73" t="inlineStr">
        <is>
          <t>Mining/Pelletization, Guarapari/Anchieta</t>
        </is>
      </c>
      <c r="Y38" s="73" t="inlineStr">
        <is>
          <t>ES</t>
        </is>
      </c>
      <c r="Z38" s="73" t="inlineStr">
        <is>
          <t>~3,600 functions.</t>
        </is>
      </c>
      <c r="AA38" s="73" t="inlineStr">
        <is>
          <t>R$1.3B revenue</t>
        </is>
      </c>
      <c r="AB38" s="73" t="inlineStr">
        <is>
          <t>samarco.com</t>
        </is>
      </c>
      <c r="AC38" s="73" t="inlineStr">
        <is>
          <t>+55 800 033 8485</t>
        </is>
      </c>
      <c r="AD38" s="75" t="n">
        <v>46093</v>
      </c>
      <c r="AE38" s="73" t="n"/>
      <c r="AF38" s="73" t="n"/>
    </row>
    <row r="39" ht="34.2" customHeight="1" s="83">
      <c r="A39" s="76" t="n">
        <v>38</v>
      </c>
      <c r="B39" s="76" t="inlineStr">
        <is>
          <t>SAMARCO</t>
        </is>
      </c>
      <c r="C39" s="76" t="inlineStr">
        <is>
          <t>Alexandre Kahowec</t>
        </is>
      </c>
      <c r="D39" s="76" t="inlineStr">
        <is>
          <t>Automation and Infrastructure Eng.</t>
        </is>
      </c>
      <c r="E39" s="76" t="inlineStr">
        <is>
          <t>Automation/IT</t>
        </is>
      </c>
      <c r="F39" s="76" t="inlineStr">
        <is>
          <t>alexandre.kahowec@samarco.com</t>
        </is>
      </c>
      <c r="G39" s="76" t="inlineStr">
        <is>
          <t>+55 800 033 8485</t>
        </is>
      </c>
      <c r="H39" s="76" t="inlineStr">
        <is>
          <t>linkedin.com/in/avkahowec</t>
        </is>
      </c>
      <c r="I39" s="76" t="n"/>
      <c r="J39" s="76" t="inlineStr">
        <is>
          <t>New</t>
        </is>
      </c>
      <c r="K39" s="76" t="inlineStr">
        <is>
          <t>High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P39" s="77" t="n"/>
      <c r="Q39" s="76" t="n"/>
      <c r="R39" s="76" t="n"/>
      <c r="S39" s="76" t="inlineStr">
        <is>
          <t>Apollo+LinkedIn</t>
        </is>
      </c>
      <c r="T39" s="76" t="inlineStr">
        <is>
          <t>Eng. Automação e Infraestrutura (2020). Antes em MCA Auditoria e EPC Engenharia. Perfil técnico ideal para projetos de automação e Functional Safety.</t>
        </is>
      </c>
      <c r="U39" s="77" t="n"/>
      <c r="V39" s="77" t="n"/>
      <c r="W39" s="77" t="inlineStr">
        <is>
          <t>SAMARCO MINERAÇÃO — Mining/Pelotization, Guarapari/Anchieta, ES | ~3,600 functions. | R$1.3B receita | samarco.com | +55 800 033 8485</t>
        </is>
      </c>
      <c r="X39" s="76" t="inlineStr">
        <is>
          <t>Mining/Pelletization, Guarapari/Anchieta</t>
        </is>
      </c>
      <c r="Y39" s="76" t="inlineStr">
        <is>
          <t>ES</t>
        </is>
      </c>
      <c r="Z39" s="76" t="inlineStr">
        <is>
          <t>~3,600 functions.</t>
        </is>
      </c>
      <c r="AA39" s="76" t="inlineStr">
        <is>
          <t>R$1.3B revenue</t>
        </is>
      </c>
      <c r="AB39" s="76" t="inlineStr">
        <is>
          <t>samarco.com</t>
        </is>
      </c>
      <c r="AC39" s="76" t="inlineStr">
        <is>
          <t>+55 800 033 8485</t>
        </is>
      </c>
      <c r="AD39" s="78" t="n">
        <v>46093</v>
      </c>
      <c r="AE39" s="76" t="n"/>
      <c r="AF39" s="76" t="n"/>
    </row>
    <row r="40" ht="34.2" customHeight="1" s="83">
      <c r="A40" s="73" t="n">
        <v>39</v>
      </c>
      <c r="B40" s="73" t="inlineStr">
        <is>
          <t>SAMARCO</t>
        </is>
      </c>
      <c r="C40" s="73" t="inlineStr">
        <is>
          <t>Alexandre Junior</t>
        </is>
      </c>
      <c r="D40" s="73" t="inlineStr">
        <is>
          <t>Automation Specialist Technician</t>
        </is>
      </c>
      <c r="E40" s="73" t="inlineStr">
        <is>
          <t>Automation</t>
        </is>
      </c>
      <c r="F40" s="73" t="inlineStr">
        <is>
          <t>alexandre.junior@samarco.com</t>
        </is>
      </c>
      <c r="G40" s="73" t="inlineStr">
        <is>
          <t>+55 800 033 8485</t>
        </is>
      </c>
      <c r="H40" s="73" t="inlineStr">
        <is>
          <t>linkedin.com/in/alexandre-moure-de-ataide-junior-49273839</t>
        </is>
      </c>
      <c r="I40" s="73" t="n"/>
      <c r="J40" s="73" t="inlineStr">
        <is>
          <t>New</t>
        </is>
      </c>
      <c r="K40" s="73" t="inlineStr">
        <is>
          <t>Medium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P40" s="74" t="n"/>
      <c r="Q40" s="73" t="n"/>
      <c r="R40" s="73" t="n"/>
      <c r="S40" s="73" t="inlineStr">
        <is>
          <t>Apollo+LinkedIn</t>
        </is>
      </c>
      <c r="T40" s="73" t="inlineStr">
        <is>
          <t>Especialista Automação (2022) e Técnico SR Automação por 10 anos antes. Perfil técnico operacional — aderência Man Power Support e Projects automação.</t>
        </is>
      </c>
      <c r="U40" s="74" t="n"/>
      <c r="V40" s="74" t="n"/>
      <c r="W40" s="74" t="inlineStr">
        <is>
          <t>SAMARCO MINERAÇÃO — Mining/Pelotization, Guarapari/Anchieta, ES | ~3,600 functions. | R$1.3B receita | samarco.com | +55 800 033 8485</t>
        </is>
      </c>
      <c r="X40" s="73" t="inlineStr">
        <is>
          <t>Mining/Pelletization, Guarapari/Anchieta</t>
        </is>
      </c>
      <c r="Y40" s="73" t="inlineStr">
        <is>
          <t>ES</t>
        </is>
      </c>
      <c r="Z40" s="73" t="inlineStr">
        <is>
          <t>~3,600 functions.</t>
        </is>
      </c>
      <c r="AA40" s="73" t="inlineStr">
        <is>
          <t>R$1.3B revenue</t>
        </is>
      </c>
      <c r="AB40" s="73" t="inlineStr">
        <is>
          <t>samarco.com</t>
        </is>
      </c>
      <c r="AC40" s="73" t="inlineStr">
        <is>
          <t>+55 800 033 8485</t>
        </is>
      </c>
      <c r="AD40" s="75" t="n">
        <v>46093</v>
      </c>
      <c r="AE40" s="73" t="n"/>
      <c r="AF40" s="73" t="n"/>
    </row>
    <row r="41" ht="22.8" customHeight="1" s="83">
      <c r="A41" s="76" t="n">
        <v>44</v>
      </c>
      <c r="B41" s="76" t="inlineStr">
        <is>
          <t>LHOIST</t>
        </is>
      </c>
      <c r="C41" s="76" t="inlineStr">
        <is>
          <t>Carlos Rocha</t>
        </is>
      </c>
      <c r="D41" s="76" t="inlineStr">
        <is>
          <t>Industrial Maintenance Coordinator</t>
        </is>
      </c>
      <c r="E41" s="76" t="inlineStr">
        <is>
          <t>Maintenance</t>
        </is>
      </c>
      <c r="F41" s="76" t="inlineStr">
        <is>
          <t>carlos.rocha@lhoist.com</t>
        </is>
      </c>
      <c r="G41" s="76" t="n"/>
      <c r="H41" s="76" t="inlineStr">
        <is>
          <t>linkedin.com/in/carlos-rocha-137a3b1b0</t>
        </is>
      </c>
      <c r="I41" s="76" t="n"/>
      <c r="J41" s="76" t="inlineStr">
        <is>
          <t>New</t>
        </is>
      </c>
      <c r="K41" s="76" t="inlineStr">
        <is>
          <t>High</t>
        </is>
      </c>
      <c r="L41" t="inlineStr">
        <is>
          <t>Yes</t>
        </is>
      </c>
      <c r="N41" t="inlineStr">
        <is>
          <t>Yes</t>
        </is>
      </c>
      <c r="P41" s="77" t="n"/>
      <c r="Q41" s="76" t="n"/>
      <c r="R41" s="76" t="n"/>
      <c r="S41" s="76" t="inlineStr">
        <is>
          <t>Apollo+LinkedIn</t>
        </is>
      </c>
      <c r="T41" s="76" t="inlineStr">
        <is>
          <t>Coord. Manutenção Industrial (2022). Antes Coord. Elétrica/Automação (2015-2021) e Project Engineer (2006-2015). 26 anos total na Lhoist. Influenciador-chave de contratações.</t>
        </is>
      </c>
      <c r="U41" s="77" t="n"/>
      <c r="V41" s="77" t="n"/>
      <c r="W41" s="77" t="inlineStr">
        <is>
          <t>LHOIST — Mineração/Cal Industrial, ES | ~6,600 func. global | R$4.3B revenue | lhoist.com</t>
        </is>
      </c>
      <c r="X41" s="76" t="inlineStr">
        <is>
          <t>Mining/Industrial Lime</t>
        </is>
      </c>
      <c r="Y41" s="76" t="inlineStr">
        <is>
          <t>ES</t>
        </is>
      </c>
      <c r="Z41" s="76" t="inlineStr">
        <is>
          <t>~6,600 func. global</t>
        </is>
      </c>
      <c r="AA41" s="76" t="inlineStr">
        <is>
          <t>R$4.3B revenue</t>
        </is>
      </c>
      <c r="AB41" s="76" t="inlineStr">
        <is>
          <t>lhoist.com</t>
        </is>
      </c>
      <c r="AC41" s="76" t="n"/>
      <c r="AD41" s="78" t="n">
        <v>46093</v>
      </c>
      <c r="AE41" s="76" t="n"/>
      <c r="AF41" s="76" t="n"/>
    </row>
    <row r="42" ht="22.8" customHeight="1" s="83">
      <c r="A42" s="73" t="n">
        <v>45</v>
      </c>
      <c r="B42" s="73" t="inlineStr">
        <is>
          <t>LHOIST</t>
        </is>
      </c>
      <c r="C42" s="73" t="inlineStr">
        <is>
          <t>Celes Junior</t>
        </is>
      </c>
      <c r="D42" s="73" t="inlineStr">
        <is>
          <t>Maintenance Coordinator</t>
        </is>
      </c>
      <c r="E42" s="73" t="inlineStr">
        <is>
          <t>Maintenance</t>
        </is>
      </c>
      <c r="F42" s="73" t="inlineStr">
        <is>
          <t>celes.junior@lhoist.com</t>
        </is>
      </c>
      <c r="G42" s="73" t="n"/>
      <c r="H42" s="73" t="inlineStr">
        <is>
          <t>linkedin.com/in/celes-junior-018a7b11b</t>
        </is>
      </c>
      <c r="I42" s="73" t="n"/>
      <c r="J42" s="73" t="inlineStr">
        <is>
          <t>New</t>
        </is>
      </c>
      <c r="K42" s="73" t="inlineStr">
        <is>
          <t>High</t>
        </is>
      </c>
      <c r="L42" t="inlineStr">
        <is>
          <t>Yes</t>
        </is>
      </c>
      <c r="N42" t="inlineStr">
        <is>
          <t>Yes</t>
        </is>
      </c>
      <c r="P42" s="74" t="n"/>
      <c r="Q42" s="73" t="n"/>
      <c r="R42" s="73" t="n"/>
      <c r="S42" s="73" t="inlineStr">
        <is>
          <t>Apollo+LinkedIn</t>
        </is>
      </c>
      <c r="T42" s="73" t="inlineStr">
        <is>
          <t>Coord. Manutenção na Lhoist, Vila Velha. Mesmo nível que Carlos Rocha. Abordar em paralelo para reforçar presença. Aderência manutenção industrial.</t>
        </is>
      </c>
      <c r="U42" s="74" t="n"/>
      <c r="V42" s="74" t="n"/>
      <c r="W42" s="74" t="inlineStr">
        <is>
          <t>LHOIST — Mineração/Cal Industrial, ES | ~6,600 func. global | R$4.3B revenue | lhoist.com</t>
        </is>
      </c>
      <c r="X42" s="73" t="inlineStr">
        <is>
          <t>Mining/Industrial Lime</t>
        </is>
      </c>
      <c r="Y42" s="73" t="inlineStr">
        <is>
          <t>ES</t>
        </is>
      </c>
      <c r="Z42" s="73" t="inlineStr">
        <is>
          <t>~6,600 func. global</t>
        </is>
      </c>
      <c r="AA42" s="73" t="inlineStr">
        <is>
          <t>R$4.3B revenue</t>
        </is>
      </c>
      <c r="AB42" s="73" t="inlineStr">
        <is>
          <t>lhoist.com</t>
        </is>
      </c>
      <c r="AC42" s="73" t="n"/>
      <c r="AD42" s="75" t="n">
        <v>46093</v>
      </c>
      <c r="AE42" s="73" t="n"/>
      <c r="AF42" s="73" t="n"/>
    </row>
    <row r="43" ht="22.8" customHeight="1" s="83">
      <c r="A43" s="76" t="n">
        <v>46</v>
      </c>
      <c r="B43" s="76" t="inlineStr">
        <is>
          <t>IMETAME</t>
        </is>
      </c>
      <c r="C43" s="76" t="inlineStr">
        <is>
          <t>Ezequiel Castilhoni</t>
        </is>
      </c>
      <c r="D43" s="76" t="inlineStr">
        <is>
          <t>Industrial Project Coordinator</t>
        </is>
      </c>
      <c r="E43" s="76" t="inlineStr">
        <is>
          <t>Projects</t>
        </is>
      </c>
      <c r="F43" s="76" t="n"/>
      <c r="G43" s="76" t="inlineStr">
        <is>
          <t>+55 27 3256-0070</t>
        </is>
      </c>
      <c r="H43" s="76" t="inlineStr">
        <is>
          <t>linkedin.com/in/ecastilhoni</t>
        </is>
      </c>
      <c r="I43" s="76" t="n"/>
      <c r="J43" s="76" t="inlineStr">
        <is>
          <t>New</t>
        </is>
      </c>
      <c r="K43" s="76" t="inlineStr">
        <is>
          <t>High</t>
        </is>
      </c>
      <c r="M43" t="inlineStr">
        <is>
          <t>Yes</t>
        </is>
      </c>
      <c r="N43" t="inlineStr">
        <is>
          <t>Yes</t>
        </is>
      </c>
      <c r="P43" s="77" t="n"/>
      <c r="Q43" s="76" t="n"/>
      <c r="R43" s="76" t="n"/>
      <c r="S43" s="76" t="inlineStr">
        <is>
          <t>LinkedIn</t>
        </is>
      </c>
      <c r="T43" s="76" t="inlineStr">
        <is>
          <t>Coord. Projetos Industriais desde 2019 (ex-trainee Imetame 2016). Background: CAPEX, construção e montagem, planejamento. Imetame atua em O&amp;G, mineração, energia — alta aderência para Projects e Man Power Support.</t>
        </is>
      </c>
      <c r="U43" s="77" t="n"/>
      <c r="V43" s="77" t="n"/>
      <c r="W43" s="77" t="inlineStr">
        <is>
          <t>IMETAME — Metalmecânica/Industrial, Aracruz, ES | ~3,400 func. | imetame.com.br | +55 27 3256-0070</t>
        </is>
      </c>
      <c r="X43" s="76" t="inlineStr">
        <is>
          <t>Metalmechanics/Industrial, Aracruz</t>
        </is>
      </c>
      <c r="Y43" s="76" t="inlineStr">
        <is>
          <t>ES</t>
        </is>
      </c>
      <c r="Z43" s="76" t="inlineStr">
        <is>
          <t>~3,400 func.</t>
        </is>
      </c>
      <c r="AA43" s="76" t="inlineStr">
        <is>
          <t>imetame.com.br</t>
        </is>
      </c>
      <c r="AB43" s="76" t="inlineStr">
        <is>
          <t>+55 27 3256-0070</t>
        </is>
      </c>
      <c r="AC43" s="76" t="n"/>
      <c r="AD43" s="78" t="n">
        <v>46093</v>
      </c>
      <c r="AE43" s="76" t="n"/>
      <c r="AF43" s="76" t="n"/>
    </row>
    <row r="44" ht="22.8" customHeight="1" s="83">
      <c r="A44" s="73" t="n">
        <v>47</v>
      </c>
      <c r="B44" s="73" t="inlineStr">
        <is>
          <t>QUANT SERVICE</t>
        </is>
      </c>
      <c r="C44" s="73" t="inlineStr">
        <is>
          <t>Igor Barbosa</t>
        </is>
      </c>
      <c r="D44" s="73" t="inlineStr">
        <is>
          <t>Industrial Maintenance / Facilities Manager</t>
        </is>
      </c>
      <c r="E44" s="73" t="inlineStr">
        <is>
          <t>Maintenance</t>
        </is>
      </c>
      <c r="F44" s="73" t="inlineStr">
        <is>
          <t>igor.tozzi@quantservice.com</t>
        </is>
      </c>
      <c r="G44" s="73" t="n"/>
      <c r="H44" s="73" t="inlineStr">
        <is>
          <t>linkedin.com/in/igor-tozzi-barbosa-492364120</t>
        </is>
      </c>
      <c r="I44" s="73" t="n"/>
      <c r="J44" s="73" t="inlineStr">
        <is>
          <t>New</t>
        </is>
      </c>
      <c r="K44" s="73" t="inlineStr">
        <is>
          <t>High</t>
        </is>
      </c>
      <c r="L44" t="inlineStr">
        <is>
          <t>Yes</t>
        </is>
      </c>
      <c r="N44" t="inlineStr">
        <is>
          <t>Yes</t>
        </is>
      </c>
      <c r="P44" s="74" t="n"/>
      <c r="Q44" s="73" t="n"/>
      <c r="R44" s="73" t="n"/>
      <c r="S44" s="73" t="inlineStr">
        <is>
          <t>Apollo+LinkedIn</t>
        </is>
      </c>
      <c r="T44" s="73" t="inlineStr">
        <is>
          <t>Gerente Manutenção Industrial/Facilities na Quant (2022). Antes: Babcock Int. Brasil (Ger. Manutenção 2018-2020) e ÁLAMO Engenharia (8 anos). Quant é empresa de outsourcing de manutenção — parceiro potencial e canal para clientes finais.</t>
        </is>
      </c>
      <c r="U44" s="74" t="n"/>
      <c r="V44" s="74" t="n"/>
      <c r="W44" s="74" t="inlineStr">
        <is>
          <t>QUANT SERVICE — Industrial Maintenance Outsourcing, ES | ~1,100 func. | R$176M revenue | quantservice.com</t>
        </is>
      </c>
      <c r="X44" s="73" t="inlineStr">
        <is>
          <t>Industrial Maintenance Outsourcing</t>
        </is>
      </c>
      <c r="Y44" s="73" t="inlineStr">
        <is>
          <t>ES</t>
        </is>
      </c>
      <c r="Z44" s="73" t="inlineStr">
        <is>
          <t>~1,100 func.</t>
        </is>
      </c>
      <c r="AA44" s="73" t="inlineStr">
        <is>
          <t>R$176M revenue</t>
        </is>
      </c>
      <c r="AB44" s="73" t="inlineStr">
        <is>
          <t>quantservice.com</t>
        </is>
      </c>
      <c r="AC44" s="73" t="n"/>
      <c r="AD44" s="75" t="n">
        <v>46093</v>
      </c>
      <c r="AE44" s="73" t="n"/>
      <c r="AF44" s="73" t="n"/>
    </row>
    <row r="45" ht="68.40000000000001" customHeight="1" s="83">
      <c r="A45" s="76" t="n">
        <v>48</v>
      </c>
      <c r="B45" s="76" t="inlineStr">
        <is>
          <t>FORTLEV SOLAR</t>
        </is>
      </c>
      <c r="C45" s="76" t="inlineStr">
        <is>
          <t>Eduardo Nascimento</t>
        </is>
      </c>
      <c r="D45" s="76" t="inlineStr">
        <is>
          <t>Engineering Manager</t>
        </is>
      </c>
      <c r="E45" s="76" t="inlineStr">
        <is>
          <t>Engineering</t>
        </is>
      </c>
      <c r="F45" s="76" t="inlineStr">
        <is>
          <t>eduardo.nascimento@fortlevsolar.com.br</t>
        </is>
      </c>
      <c r="G45" s="76" t="n"/>
      <c r="H45" s="76" t="inlineStr">
        <is>
          <t>linkedin.com/in/eduardoanascimento</t>
        </is>
      </c>
      <c r="I45" s="76" t="n"/>
      <c r="J45" s="76" t="inlineStr">
        <is>
          <t>New</t>
        </is>
      </c>
      <c r="K45" s="76" t="inlineStr">
        <is>
          <t>High</t>
        </is>
      </c>
      <c r="L45" t="inlineStr">
        <is>
          <t>Yes</t>
        </is>
      </c>
      <c r="N45" t="inlineStr">
        <is>
          <t>Yes</t>
        </is>
      </c>
      <c r="P45" s="77" t="n"/>
      <c r="Q45" s="76" t="n"/>
      <c r="R45" s="76" t="n"/>
      <c r="S45" s="76" t="inlineStr">
        <is>
          <t>Apollo+LinkedIn</t>
        </is>
      </c>
      <c r="T45" s="76" t="inlineStr">
        <is>
          <t>Lucas</t>
        </is>
      </c>
      <c r="U45" s="77" t="inlineStr">
        <is>
          <t>Engineering Manager since 2022; former Product Engineer Fortlev Solar (2018). Also a partner at Alvarenga Consultoria. Background in industrial maintenance (Aluminum Profile). Decision maker for installation and engineering projects in the company.</t>
        </is>
      </c>
      <c r="V45" s="77" t="n"/>
      <c r="W45" s="77" t="inlineStr">
        <is>
          <t>FORTLEV SOLAR — Solar Photovoltaic Energy, Serra, ES | ~260 func. | fortlevsolar.com.br</t>
        </is>
      </c>
      <c r="X45" s="76" t="inlineStr">
        <is>
          <t>Photovoltaic Solar Energy, Serra</t>
        </is>
      </c>
      <c r="Y45" s="76" t="inlineStr">
        <is>
          <t>ES</t>
        </is>
      </c>
      <c r="Z45" s="76" t="inlineStr">
        <is>
          <t>~260 func.</t>
        </is>
      </c>
      <c r="AA45" s="76" t="inlineStr">
        <is>
          <t>fortlevsolar.com.br</t>
        </is>
      </c>
      <c r="AB45" s="76" t="n"/>
      <c r="AC45" s="76" t="n"/>
      <c r="AD45" s="78" t="n">
        <v>46097</v>
      </c>
      <c r="AE45" s="76" t="n"/>
      <c r="AF45" s="76" t="n"/>
    </row>
    <row r="46" ht="45.6" customHeight="1" s="83">
      <c r="A46" s="73" t="n">
        <v>49</v>
      </c>
      <c r="B46" s="73" t="inlineStr">
        <is>
          <t>FORTLEV SOLAR</t>
        </is>
      </c>
      <c r="C46" s="73" t="inlineStr">
        <is>
          <t>Diogo Dallapicula</t>
        </is>
      </c>
      <c r="D46" s="73" t="inlineStr">
        <is>
          <t>Engineering Coordinator</t>
        </is>
      </c>
      <c r="E46" s="73" t="inlineStr">
        <is>
          <t>Engineering</t>
        </is>
      </c>
      <c r="F46" s="73" t="inlineStr">
        <is>
          <t>diogo.dallapicula@fortlevsolar.com.br</t>
        </is>
      </c>
      <c r="G46" s="73" t="n"/>
      <c r="H46" s="73" t="inlineStr">
        <is>
          <t>linkedin.com/in/diogo-marins-dallapicula</t>
        </is>
      </c>
      <c r="I46" s="73" t="n"/>
      <c r="J46" s="73" t="inlineStr">
        <is>
          <t>New</t>
        </is>
      </c>
      <c r="K46" s="73" t="inlineStr">
        <is>
          <t>High</t>
        </is>
      </c>
      <c r="L46" t="inlineStr">
        <is>
          <t>Yes</t>
        </is>
      </c>
      <c r="N46" t="inlineStr">
        <is>
          <t>Yes</t>
        </is>
      </c>
      <c r="P46" s="74" t="n"/>
      <c r="Q46" s="73" t="n"/>
      <c r="R46" s="73" t="n"/>
      <c r="S46" s="73" t="inlineStr">
        <is>
          <t>Apollo+LinkedIn</t>
        </is>
      </c>
      <c r="T46" s="73" t="inlineStr">
        <is>
          <t>Lucas</t>
        </is>
      </c>
      <c r="U46" s="74" t="inlineStr">
        <is>
          <t>Coord. Engineering since 2021; former A&amp;G engineer. Focus on Data Science and Power BI in addition to technical coordination. Ideal technical-analytical profile for projects.</t>
        </is>
      </c>
      <c r="V46" s="74" t="n"/>
      <c r="W46" s="74" t="inlineStr">
        <is>
          <t>FORTLEV SOLAR — Solar Photovoltaic Energy, Serra, ES | ~260 func. | fortlevsolar.com.br</t>
        </is>
      </c>
      <c r="X46" s="73" t="inlineStr">
        <is>
          <t>Photovoltaic Solar Energy, Serra</t>
        </is>
      </c>
      <c r="Y46" s="73" t="inlineStr">
        <is>
          <t>ES</t>
        </is>
      </c>
      <c r="Z46" s="73" t="inlineStr">
        <is>
          <t>~260 func.</t>
        </is>
      </c>
      <c r="AA46" s="73" t="inlineStr">
        <is>
          <t>fortlevsolar.com.br</t>
        </is>
      </c>
      <c r="AB46" s="73" t="n"/>
      <c r="AC46" s="73" t="n"/>
      <c r="AD46" s="75" t="n">
        <v>46097</v>
      </c>
      <c r="AE46" s="73" t="n"/>
      <c r="AF46" s="73" t="n"/>
    </row>
    <row r="47" ht="79.8" customHeight="1" s="83">
      <c r="A47" s="76" t="n">
        <v>50</v>
      </c>
      <c r="B47" s="76" t="inlineStr">
        <is>
          <t>TRIGOMAIS</t>
        </is>
      </c>
      <c r="C47" s="76" t="inlineStr">
        <is>
          <t>Abraao Dantas</t>
        </is>
      </c>
      <c r="D47" s="76" t="inlineStr">
        <is>
          <t>Managing Partner</t>
        </is>
      </c>
      <c r="E47" s="76" t="inlineStr">
        <is>
          <t>Direction/Management</t>
        </is>
      </c>
      <c r="F47" s="76" t="n"/>
      <c r="G47" s="76" t="inlineStr">
        <is>
          <t>+55 27 3218-1411</t>
        </is>
      </c>
      <c r="H47" s="76" t="inlineStr">
        <is>
          <t>linkedin.com/in/abraaodantas</t>
        </is>
      </c>
      <c r="I47" s="76" t="n"/>
      <c r="J47" s="76" t="inlineStr">
        <is>
          <t>New</t>
        </is>
      </c>
      <c r="K47" s="76" t="inlineStr">
        <is>
          <t>High</t>
        </is>
      </c>
      <c r="M47" t="inlineStr">
        <is>
          <t>Yes</t>
        </is>
      </c>
      <c r="N47" t="inlineStr">
        <is>
          <t>Yes</t>
        </is>
      </c>
      <c r="P47" s="77" t="n"/>
      <c r="Q47" s="76" t="n"/>
      <c r="R47" s="76" t="n"/>
      <c r="S47" s="76" t="inlineStr">
        <is>
          <t>Apollo+LinkedIn</t>
        </is>
      </c>
      <c r="T47" s="76" t="inlineStr">
        <is>
          <t>Lucas</t>
        </is>
      </c>
      <c r="U47" s="77" t="inlineStr">
        <is>
          <t>Managing Partner of Trigomais (Serra, ES). Managing partner with total decision-making power. Company with 110 employees. of food deep freezing — specific industrial equipment (cold rooms, freezing lines, industrial ovens). No Apollo email.</t>
        </is>
      </c>
      <c r="V47" s="77" t="n"/>
      <c r="W47" s="77" t="inlineStr">
        <is>
          <t>WHEAT FOODS — Food Industry (frozen bread), Serra, ES | ~110 func. | trigomais.com.br | +55 27 3218-1411</t>
        </is>
      </c>
      <c r="X47" s="76" t="inlineStr">
        <is>
          <t>Food Industry (frozen bread), Serra</t>
        </is>
      </c>
      <c r="Y47" s="76" t="inlineStr">
        <is>
          <t>ES</t>
        </is>
      </c>
      <c r="Z47" s="76" t="inlineStr">
        <is>
          <t>~110 func.</t>
        </is>
      </c>
      <c r="AA47" s="76" t="inlineStr">
        <is>
          <t>trigomais.com.br</t>
        </is>
      </c>
      <c r="AB47" s="76" t="inlineStr">
        <is>
          <t>+55 27 3218-1411</t>
        </is>
      </c>
      <c r="AC47" s="76" t="n"/>
      <c r="AD47" s="78" t="n">
        <v>46097</v>
      </c>
      <c r="AE47" s="76" t="n"/>
      <c r="AF47" s="76" t="n"/>
    </row>
    <row r="48" ht="68.40000000000001" customHeight="1" s="83">
      <c r="A48" s="73" t="n">
        <v>51</v>
      </c>
      <c r="B48" s="73" t="inlineStr">
        <is>
          <t>TRIGOMAIS</t>
        </is>
      </c>
      <c r="C48" s="73" t="inlineStr">
        <is>
          <t>Paulo Sergio</t>
        </is>
      </c>
      <c r="D48" s="73" t="inlineStr">
        <is>
          <t>TEC Supervisor</t>
        </is>
      </c>
      <c r="E48" s="73" t="inlineStr">
        <is>
          <t>Maintenance/Production</t>
        </is>
      </c>
      <c r="F48" s="73" t="n"/>
      <c r="G48" s="73" t="inlineStr">
        <is>
          <t>+55 27 3218-1411</t>
        </is>
      </c>
      <c r="H48" s="73" t="inlineStr">
        <is>
          <t>linkedin.com/in/paulo-sergio-210763188</t>
        </is>
      </c>
      <c r="I48" s="73" t="n"/>
      <c r="J48" s="73" t="inlineStr">
        <is>
          <t>New</t>
        </is>
      </c>
      <c r="K48" s="73" t="inlineStr">
        <is>
          <t>Medium</t>
        </is>
      </c>
      <c r="M48" t="inlineStr">
        <is>
          <t>Yes</t>
        </is>
      </c>
      <c r="N48" t="inlineStr">
        <is>
          <t>Yes</t>
        </is>
      </c>
      <c r="P48" s="74" t="n"/>
      <c r="Q48" s="73" t="n"/>
      <c r="R48" s="73" t="n"/>
      <c r="S48" s="73" t="inlineStr">
        <is>
          <t>Apollo+LinkedIn</t>
        </is>
      </c>
      <c r="T48" s="73" t="inlineStr">
        <is>
          <t>Lucas</t>
        </is>
      </c>
      <c r="U48" s="74" t="inlineStr">
        <is>
          <t>TEC Supervisor at Trigomais since September 2017. Food industry with deep-freezing line — industrial equipment that requires specialized maintenance. No Apollo email; activate via LinkedIn or company phone number.</t>
        </is>
      </c>
      <c r="V48" s="74" t="n"/>
      <c r="W48" s="74" t="inlineStr">
        <is>
          <t>WHEAT FOODS — Food Industry (frozen bread), Serra, ES | ~110 func. | trigomais.com.br | +55 27 3218-1411</t>
        </is>
      </c>
      <c r="X48" s="73" t="inlineStr">
        <is>
          <t>Food Industry (frozen bread), Serra</t>
        </is>
      </c>
      <c r="Y48" s="73" t="inlineStr">
        <is>
          <t>ES</t>
        </is>
      </c>
      <c r="Z48" s="73" t="inlineStr">
        <is>
          <t>~110 func.</t>
        </is>
      </c>
      <c r="AA48" s="73" t="inlineStr">
        <is>
          <t>trigomais.com.br</t>
        </is>
      </c>
      <c r="AB48" s="73" t="inlineStr">
        <is>
          <t>+55 27 3218-1411</t>
        </is>
      </c>
      <c r="AC48" s="73" t="n"/>
      <c r="AD48" s="75" t="n">
        <v>46097</v>
      </c>
      <c r="AE48" s="73" t="n"/>
      <c r="AF48" s="73" t="n"/>
    </row>
    <row r="49" ht="57" customHeight="1" s="83">
      <c r="A49" s="76" t="n">
        <v>52</v>
      </c>
      <c r="B49" s="76" t="inlineStr">
        <is>
          <t>BRASIGRAN</t>
        </is>
      </c>
      <c r="C49" s="76" t="inlineStr">
        <is>
          <t>Onair Brasigran</t>
        </is>
      </c>
      <c r="D49" s="76" t="inlineStr">
        <is>
          <t>Maintenance Supervisor</t>
        </is>
      </c>
      <c r="E49" s="76" t="inlineStr">
        <is>
          <t>Maintenance</t>
        </is>
      </c>
      <c r="F49" s="76" t="n"/>
      <c r="G49" s="76" t="n"/>
      <c r="H49" s="76" t="inlineStr">
        <is>
          <t>linkedin.com/in/onair-brasigran-5a1626a0</t>
        </is>
      </c>
      <c r="I49" s="76" t="n"/>
      <c r="J49" s="76" t="inlineStr">
        <is>
          <t>New</t>
        </is>
      </c>
      <c r="K49" s="76" t="inlineStr">
        <is>
          <t>High</t>
        </is>
      </c>
      <c r="N49" t="inlineStr">
        <is>
          <t>Yes</t>
        </is>
      </c>
      <c r="P49" s="77" t="n"/>
      <c r="Q49" s="76" t="n"/>
      <c r="R49" s="76" t="n"/>
      <c r="S49" s="76" t="inlineStr">
        <is>
          <t>Apollo+LinkedIn</t>
        </is>
      </c>
      <c r="T49" s="76" t="inlineStr">
        <is>
          <t>Lucas</t>
        </is>
      </c>
      <c r="U49" s="77" t="inlineStr">
        <is>
          <t>Maintenance Supervisor at Brasigran (Serra, ES). No email on Apollo. Company with 840 employees, exports granite to the US, China, Europe. Maintenance of cutting, polishing and extraction machines — direct ICP.</t>
        </is>
      </c>
      <c r="V49" s="77" t="n"/>
      <c r="W49" s="77" t="inlineStr">
        <is>
          <t>BRASIGRAN — Granites and Mining, Serra, ES | ~840 func. | brasigran.com.br</t>
        </is>
      </c>
      <c r="X49" s="76" t="inlineStr">
        <is>
          <t>Granites and Mining, Serra</t>
        </is>
      </c>
      <c r="Y49" s="76" t="inlineStr">
        <is>
          <t>ES</t>
        </is>
      </c>
      <c r="Z49" s="76" t="inlineStr">
        <is>
          <t>~840 func.</t>
        </is>
      </c>
      <c r="AA49" s="76" t="inlineStr">
        <is>
          <t>brasigran.com.br</t>
        </is>
      </c>
      <c r="AB49" s="76" t="n"/>
      <c r="AC49" s="76" t="n"/>
      <c r="AD49" s="78" t="n">
        <v>46097</v>
      </c>
      <c r="AE49" s="76" t="n"/>
      <c r="AF49" s="76" t="n"/>
    </row>
    <row r="50" ht="79.8" customHeight="1" s="83">
      <c r="A50" s="73" t="n">
        <v>53</v>
      </c>
      <c r="B50" s="73" t="inlineStr">
        <is>
          <t>BRASIGRAN</t>
        </is>
      </c>
      <c r="C50" s="73" t="inlineStr">
        <is>
          <t>Samuel Araujo</t>
        </is>
      </c>
      <c r="D50" s="73" t="inlineStr">
        <is>
          <t>Head of Innovation Projects</t>
        </is>
      </c>
      <c r="E50" s="73" t="inlineStr">
        <is>
          <t>Projects/Innovation</t>
        </is>
      </c>
      <c r="F50" s="73" t="inlineStr">
        <is>
          <t>slaraujo@brasigran.com.br</t>
        </is>
      </c>
      <c r="G50" s="73" t="n"/>
      <c r="H50" s="73" t="inlineStr">
        <is>
          <t>linkedin.com/in/samuel-araujo-14224195</t>
        </is>
      </c>
      <c r="I50" s="73" t="n"/>
      <c r="J50" s="73" t="inlineStr">
        <is>
          <t>New</t>
        </is>
      </c>
      <c r="K50" s="73" t="inlineStr">
        <is>
          <t>High</t>
        </is>
      </c>
      <c r="L50" t="inlineStr">
        <is>
          <t>Yes</t>
        </is>
      </c>
      <c r="N50" t="inlineStr">
        <is>
          <t>Yes</t>
        </is>
      </c>
      <c r="P50" s="74" t="n"/>
      <c r="Q50" s="73" t="n"/>
      <c r="R50" s="73" t="n"/>
      <c r="S50" s="73" t="inlineStr">
        <is>
          <t>Apollo+LinkedIn</t>
        </is>
      </c>
      <c r="T50" s="73" t="inlineStr">
        <is>
          <t>Lucas</t>
        </is>
      </c>
      <c r="U50" s="74" t="inlineStr">
        <is>
          <t>Head of Innovation Projects since Jul/2023; former Production Planning Supervisor (2019-2023). Background: Supply Chain Analyst (Estée Lauder) and Operations Supervisor (Tegma). Leads innovation and expansion projects — decision-maker for engineering suppliers.</t>
        </is>
      </c>
      <c r="V50" s="74" t="n"/>
      <c r="W50" s="74" t="inlineStr">
        <is>
          <t>BRASIGRAN — Granites and Mining, Serra, ES | ~840 func. | brasigran.com.br</t>
        </is>
      </c>
      <c r="X50" s="73" t="inlineStr">
        <is>
          <t>Granites and Mining, Serra</t>
        </is>
      </c>
      <c r="Y50" s="73" t="inlineStr">
        <is>
          <t>ES</t>
        </is>
      </c>
      <c r="Z50" s="73" t="inlineStr">
        <is>
          <t>~840 func.</t>
        </is>
      </c>
      <c r="AA50" s="73" t="inlineStr">
        <is>
          <t>brasigran.com.br</t>
        </is>
      </c>
      <c r="AB50" s="73" t="n"/>
      <c r="AC50" s="73" t="n"/>
      <c r="AD50" s="75" t="n">
        <v>46097</v>
      </c>
      <c r="AE50" s="73" t="n"/>
      <c r="AF50" s="73" t="n"/>
    </row>
    <row r="51" ht="68.40000000000001" customHeight="1" s="83">
      <c r="A51" s="76" t="n">
        <v>54</v>
      </c>
      <c r="B51" s="76" t="inlineStr">
        <is>
          <t>ANDRADE STONES</t>
        </is>
      </c>
      <c r="C51" s="76" t="inlineStr">
        <is>
          <t>Carlos Salviano</t>
        </is>
      </c>
      <c r="D51" s="76" t="inlineStr">
        <is>
          <t>Mining Manager</t>
        </is>
      </c>
      <c r="E51" s="76" t="inlineStr">
        <is>
          <t>Operations/Mining</t>
        </is>
      </c>
      <c r="F51" s="76" t="inlineStr">
        <is>
          <t>carlos@andradesa.com.br</t>
        </is>
      </c>
      <c r="G51" s="76" t="inlineStr">
        <is>
          <t>+55 27 2124-1222</t>
        </is>
      </c>
      <c r="H51" s="76" t="inlineStr">
        <is>
          <t>linkedin.com/in/carlos-salviano-28470a120</t>
        </is>
      </c>
      <c r="I51" s="76" t="n"/>
      <c r="J51" s="76" t="inlineStr">
        <is>
          <t>New</t>
        </is>
      </c>
      <c r="K51" s="76" t="inlineStr">
        <is>
          <t>High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P51" s="77" t="n"/>
      <c r="Q51" s="76" t="n"/>
      <c r="R51" s="76" t="n"/>
      <c r="S51" s="76" t="inlineStr">
        <is>
          <t>Apollo+LinkedIn</t>
        </is>
      </c>
      <c r="T51" s="76" t="inlineStr">
        <is>
          <t>Lucas</t>
        </is>
      </c>
      <c r="U51" s="77" t="inlineStr">
        <is>
          <t>Mining Manager since 2006 (20+ years in the company). Before: Industrial Manager (2002-2006). Operates 10 active quarries with heavy Italian machinery — huge maintenance demands. Email verified. High-level operational decision maker.</t>
        </is>
      </c>
      <c r="V51" s="77" t="n"/>
      <c r="W51" s="77" t="inlineStr">
        <is>
          <t>ANDRADE STONES — Granites and Ornamental Rocks, Serra, ES | ~85 func. | andradestones.com | +55 27 2124-1222</t>
        </is>
      </c>
      <c r="X51" s="76" t="inlineStr">
        <is>
          <t>Granites and Ornamental Rocks, Serra</t>
        </is>
      </c>
      <c r="Y51" s="76" t="inlineStr">
        <is>
          <t>ES</t>
        </is>
      </c>
      <c r="Z51" s="76" t="inlineStr">
        <is>
          <t>~85 func.</t>
        </is>
      </c>
      <c r="AA51" s="76" t="inlineStr">
        <is>
          <t>andradestones.com</t>
        </is>
      </c>
      <c r="AB51" s="76" t="inlineStr">
        <is>
          <t>+55 27 2124-1222</t>
        </is>
      </c>
      <c r="AC51" s="76" t="n"/>
      <c r="AD51" s="78" t="n">
        <v>46097</v>
      </c>
      <c r="AE51" s="76" t="n"/>
      <c r="AF51" s="76" t="n"/>
    </row>
    <row r="52" ht="68.40000000000001" customHeight="1" s="83">
      <c r="A52" s="73" t="n">
        <v>55</v>
      </c>
      <c r="B52" s="73" t="inlineStr">
        <is>
          <t>ANDRADE STONES</t>
        </is>
      </c>
      <c r="C52" s="73" t="inlineStr">
        <is>
          <t>Patricia Morellato</t>
        </is>
      </c>
      <c r="D52" s="73" t="inlineStr">
        <is>
          <t>Purchasing Supervisor</t>
        </is>
      </c>
      <c r="E52" s="73" t="inlineStr">
        <is>
          <t>Supplies/Shopping</t>
        </is>
      </c>
      <c r="F52" s="73" t="inlineStr">
        <is>
          <t>patriciamorellato@andradestones.com</t>
        </is>
      </c>
      <c r="G52" s="73" t="inlineStr">
        <is>
          <t>+55 27 2124-1222</t>
        </is>
      </c>
      <c r="H52" s="73" t="inlineStr">
        <is>
          <t>linkedin.com/in/patricia-morellato-1b85a359</t>
        </is>
      </c>
      <c r="I52" s="73" t="n"/>
      <c r="J52" s="73" t="inlineStr">
        <is>
          <t>New</t>
        </is>
      </c>
      <c r="K52" s="73" t="inlineStr">
        <is>
          <t>High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P52" s="74" t="n"/>
      <c r="Q52" s="73" t="n"/>
      <c r="R52" s="73" t="n"/>
      <c r="S52" s="73" t="inlineStr">
        <is>
          <t>Apollo+LinkedIn</t>
        </is>
      </c>
      <c r="T52" s="73" t="inlineStr">
        <is>
          <t>Lucas</t>
        </is>
      </c>
      <c r="U52" s="74" t="inlineStr">
        <is>
          <t>Purchasing Supervisor since 2021; former Logistics Supervisor at Granito Zucchi (7 years). Extensive knowledge of the ornamental stone sector. MRO and services purchasing decision-maker. Verified email — direct approach.</t>
        </is>
      </c>
      <c r="V52" s="74" t="n"/>
      <c r="W52" s="74" t="inlineStr">
        <is>
          <t>ANDRADE STONES — Granites and Ornamental Rocks, Serra, ES | ~85 func. | andradestones.com | +55 27 2124-1222</t>
        </is>
      </c>
      <c r="X52" s="73" t="inlineStr">
        <is>
          <t>Granites and Ornamental Rocks, Serra</t>
        </is>
      </c>
      <c r="Y52" s="73" t="inlineStr">
        <is>
          <t>ES</t>
        </is>
      </c>
      <c r="Z52" s="73" t="inlineStr">
        <is>
          <t>~85 func.</t>
        </is>
      </c>
      <c r="AA52" s="73" t="inlineStr">
        <is>
          <t>andradestones.com</t>
        </is>
      </c>
      <c r="AB52" s="73" t="inlineStr">
        <is>
          <t>+55 27 2124-1222</t>
        </is>
      </c>
      <c r="AC52" s="73" t="n"/>
      <c r="AD52" s="75" t="n">
        <v>46097</v>
      </c>
      <c r="AE52" s="73" t="n"/>
      <c r="AF52" s="73" t="n"/>
    </row>
    <row r="53" ht="45.6" customHeight="1" s="83">
      <c r="A53" s="76" t="n">
        <v>56</v>
      </c>
      <c r="B53" s="76" t="inlineStr">
        <is>
          <t>GRANLUX</t>
        </is>
      </c>
      <c r="C53" s="76" t="inlineStr">
        <is>
          <t>?? To map</t>
        </is>
      </c>
      <c r="D53" s="76" t="inlineStr">
        <is>
          <t>— Not found on Apollo —</t>
        </is>
      </c>
      <c r="E53" s="76" t="n"/>
      <c r="F53" s="76" t="n"/>
      <c r="G53" s="76" t="n"/>
      <c r="H53" s="76" t="n"/>
      <c r="I53" s="76" t="n"/>
      <c r="J53" s="76" t="inlineStr">
        <is>
          <t>New</t>
        </is>
      </c>
      <c r="K53" s="76" t="inlineStr">
        <is>
          <t>Medium</t>
        </is>
      </c>
      <c r="P53" s="77" t="n"/>
      <c r="Q53" s="76" t="n"/>
      <c r="R53" s="76" t="n"/>
      <c r="S53" s="76" t="inlineStr">
        <is>
          <t>LinkedIn (manual)</t>
        </is>
      </c>
      <c r="T53" s="76" t="inlineStr">
        <is>
          <t>Lucas</t>
        </is>
      </c>
      <c r="U53" s="77" t="inlineStr">
        <is>
          <t>⚠️ No data on Apollo. Manually search LinkedIn: Current Maintenance or Supplies Manager/Coordinator at the company.</t>
        </is>
      </c>
      <c r="V53" s="77" t="n"/>
      <c r="W53" s="77" t="inlineStr">
        <is>
          <t>GranLux — Granites and Marbles, Serra, ES | granluxgranitos.com.br</t>
        </is>
      </c>
      <c r="X53" s="76" t="inlineStr">
        <is>
          <t>Granites and Marbles, Serra</t>
        </is>
      </c>
      <c r="Y53" s="76" t="inlineStr">
        <is>
          <t>ES</t>
        </is>
      </c>
      <c r="Z53" s="76" t="inlineStr">
        <is>
          <t>granluxgranitos.com.br</t>
        </is>
      </c>
      <c r="AA53" s="76" t="n"/>
      <c r="AB53" s="76" t="n"/>
      <c r="AC53" s="76" t="n"/>
      <c r="AD53" s="78" t="n">
        <v>46097</v>
      </c>
      <c r="AE53" s="76" t="n"/>
      <c r="AF53" s="76" t="n"/>
    </row>
    <row r="54" ht="45.6" customHeight="1" s="83">
      <c r="A54" s="73" t="n">
        <v>57</v>
      </c>
      <c r="B54" s="73" t="inlineStr">
        <is>
          <t>V. MINAS</t>
        </is>
      </c>
      <c r="C54" s="73" t="inlineStr">
        <is>
          <t>?? To map</t>
        </is>
      </c>
      <c r="D54" s="73" t="inlineStr">
        <is>
          <t>— Not found on Apollo —</t>
        </is>
      </c>
      <c r="E54" s="73" t="n"/>
      <c r="F54" s="73" t="n"/>
      <c r="G54" s="73" t="n"/>
      <c r="H54" s="73" t="n"/>
      <c r="I54" s="73" t="n"/>
      <c r="J54" s="73" t="inlineStr">
        <is>
          <t>New</t>
        </is>
      </c>
      <c r="K54" s="73" t="inlineStr">
        <is>
          <t>Medium</t>
        </is>
      </c>
      <c r="P54" s="74" t="n"/>
      <c r="Q54" s="73" t="n"/>
      <c r="R54" s="73" t="n"/>
      <c r="S54" s="73" t="inlineStr">
        <is>
          <t>LinkedIn (manual)</t>
        </is>
      </c>
      <c r="T54" s="73" t="inlineStr">
        <is>
          <t>Lucas</t>
        </is>
      </c>
      <c r="U54" s="74" t="inlineStr">
        <is>
          <t>⚠️ No data on Apollo. Manually search LinkedIn: Current Maintenance or Supplies Manager/Coordinator at the company.</t>
        </is>
      </c>
      <c r="V54" s="74" t="n"/>
      <c r="W54" s="74" t="inlineStr">
        <is>
          <t>V. Minas — ES Company | manual search required</t>
        </is>
      </c>
      <c r="X54" s="73" t="inlineStr">
        <is>
          <t>ES Company</t>
        </is>
      </c>
      <c r="Y54" s="73" t="n"/>
      <c r="Z54" s="73" t="inlineStr">
        <is>
          <t>manual search required</t>
        </is>
      </c>
      <c r="AA54" s="73" t="n"/>
      <c r="AB54" s="73" t="n"/>
      <c r="AC54" s="73" t="n"/>
      <c r="AD54" s="75" t="n">
        <v>46097</v>
      </c>
      <c r="AE54" s="73" t="n"/>
      <c r="AF54" s="73" t="n"/>
    </row>
    <row r="55" ht="45.6" customHeight="1" s="83">
      <c r="A55" s="76" t="n">
        <v>58</v>
      </c>
      <c r="B55" s="76" t="inlineStr">
        <is>
          <t>FERTPAR</t>
        </is>
      </c>
      <c r="C55" s="76" t="inlineStr">
        <is>
          <t>?? To map</t>
        </is>
      </c>
      <c r="D55" s="76" t="inlineStr">
        <is>
          <t>— Not found on Apollo —</t>
        </is>
      </c>
      <c r="E55" s="76" t="n"/>
      <c r="F55" s="76" t="n"/>
      <c r="G55" s="76" t="n"/>
      <c r="H55" s="76" t="n"/>
      <c r="I55" s="76" t="n"/>
      <c r="J55" s="76" t="inlineStr">
        <is>
          <t>New</t>
        </is>
      </c>
      <c r="K55" s="76" t="inlineStr">
        <is>
          <t>Medium</t>
        </is>
      </c>
      <c r="P55" s="77" t="n"/>
      <c r="Q55" s="76" t="n"/>
      <c r="R55" s="76" t="n"/>
      <c r="S55" s="76" t="inlineStr">
        <is>
          <t>LinkedIn (manual)</t>
        </is>
      </c>
      <c r="T55" s="76" t="inlineStr">
        <is>
          <t>Lucas</t>
        </is>
      </c>
      <c r="U55" s="77" t="inlineStr">
        <is>
          <t>⚠️ No data on Apollo. Manually search LinkedIn: Current Maintenance or Supplies Manager/Coordinator at the company.</t>
        </is>
      </c>
      <c r="V55" s="77" t="n"/>
      <c r="W55" s="77" t="inlineStr">
        <is>
          <t>Fertpar — ES Company | manual search required</t>
        </is>
      </c>
      <c r="X55" s="76" t="inlineStr">
        <is>
          <t>ES Company</t>
        </is>
      </c>
      <c r="Y55" s="76" t="n"/>
      <c r="Z55" s="76" t="inlineStr">
        <is>
          <t>manual search required</t>
        </is>
      </c>
      <c r="AA55" s="76" t="n"/>
      <c r="AB55" s="76" t="n"/>
      <c r="AC55" s="76" t="n"/>
      <c r="AD55" s="78" t="n">
        <v>46097</v>
      </c>
      <c r="AE55" s="76" t="n"/>
      <c r="AF55" s="76" t="n"/>
    </row>
    <row r="56" ht="45.6" customHeight="1" s="83">
      <c r="A56" s="73" t="n">
        <v>59</v>
      </c>
      <c r="B56" s="73" t="inlineStr">
        <is>
          <t>ELKEN</t>
        </is>
      </c>
      <c r="C56" s="73" t="inlineStr">
        <is>
          <t>?? To map</t>
        </is>
      </c>
      <c r="D56" s="73" t="inlineStr">
        <is>
          <t>— Not found on Apollo —</t>
        </is>
      </c>
      <c r="E56" s="73" t="n"/>
      <c r="F56" s="73" t="n"/>
      <c r="G56" s="73" t="n"/>
      <c r="H56" s="73" t="n"/>
      <c r="I56" s="73" t="n"/>
      <c r="J56" s="73" t="inlineStr">
        <is>
          <t>New</t>
        </is>
      </c>
      <c r="K56" s="73" t="inlineStr">
        <is>
          <t>Medium</t>
        </is>
      </c>
      <c r="P56" s="74" t="n"/>
      <c r="Q56" s="73" t="n"/>
      <c r="R56" s="73" t="n"/>
      <c r="S56" s="73" t="inlineStr">
        <is>
          <t>LinkedIn (manual)</t>
        </is>
      </c>
      <c r="T56" s="73" t="inlineStr">
        <is>
          <t>Lucas</t>
        </is>
      </c>
      <c r="U56" s="74" t="inlineStr">
        <is>
          <t>⚠️ No data on Apollo. Manually search LinkedIn: Current Maintenance or Supplies Manager/Coordinator at the company.</t>
        </is>
      </c>
      <c r="V56" s="74" t="n"/>
      <c r="W56" s="74" t="inlineStr">
        <is>
          <t>Elken — ES Company | manual search required</t>
        </is>
      </c>
      <c r="X56" s="73" t="inlineStr">
        <is>
          <t>ES Company</t>
        </is>
      </c>
      <c r="Y56" s="73" t="n"/>
      <c r="Z56" s="73" t="inlineStr">
        <is>
          <t>manual search required</t>
        </is>
      </c>
      <c r="AA56" s="73" t="n"/>
      <c r="AB56" s="73" t="n"/>
      <c r="AC56" s="73" t="n"/>
      <c r="AD56" s="75" t="n">
        <v>46097</v>
      </c>
      <c r="AE56" s="73" t="n"/>
      <c r="AF56" s="73" t="n"/>
    </row>
    <row r="57" ht="45.6" customHeight="1" s="83">
      <c r="A57" s="76" t="n">
        <v>60</v>
      </c>
      <c r="B57" s="76" t="inlineStr">
        <is>
          <t>VANTEC</t>
        </is>
      </c>
      <c r="C57" s="76" t="inlineStr">
        <is>
          <t>?? To map</t>
        </is>
      </c>
      <c r="D57" s="76" t="inlineStr">
        <is>
          <t>— Not found on Apollo —</t>
        </is>
      </c>
      <c r="E57" s="76" t="n"/>
      <c r="F57" s="76" t="n"/>
      <c r="G57" s="76" t="n"/>
      <c r="H57" s="76" t="n"/>
      <c r="I57" s="76" t="n"/>
      <c r="J57" s="76" t="inlineStr">
        <is>
          <t>New</t>
        </is>
      </c>
      <c r="K57" s="76" t="inlineStr">
        <is>
          <t>Medium</t>
        </is>
      </c>
      <c r="P57" s="77" t="n"/>
      <c r="Q57" s="76" t="n"/>
      <c r="R57" s="76" t="n"/>
      <c r="S57" s="76" t="inlineStr">
        <is>
          <t>LinkedIn (manual)</t>
        </is>
      </c>
      <c r="T57" s="76" t="inlineStr">
        <is>
          <t>Lucas</t>
        </is>
      </c>
      <c r="U57" s="77" t="inlineStr">
        <is>
          <t>⚠️ No data on Apollo. Manually search LinkedIn: Current Maintenance or Supplies Manager/Coordinator at the company.</t>
        </is>
      </c>
      <c r="V57" s="77" t="n"/>
      <c r="W57" s="77" t="inlineStr">
        <is>
          <t>Vantec — ES Company | manual search required</t>
        </is>
      </c>
      <c r="X57" s="76" t="inlineStr">
        <is>
          <t>ES Company</t>
        </is>
      </c>
      <c r="Y57" s="76" t="n"/>
      <c r="Z57" s="76" t="inlineStr">
        <is>
          <t>manual search required</t>
        </is>
      </c>
      <c r="AA57" s="76" t="n"/>
      <c r="AB57" s="76" t="n"/>
      <c r="AC57" s="76" t="n"/>
      <c r="AD57" s="78" t="n">
        <v>46097</v>
      </c>
      <c r="AE57" s="76" t="n"/>
      <c r="AF57" s="76" t="n"/>
    </row>
    <row r="58" ht="45.6" customHeight="1" s="83">
      <c r="A58" s="73" t="n">
        <v>61</v>
      </c>
      <c r="B58" s="73" t="inlineStr">
        <is>
          <t>CICLO RECICLAGEM</t>
        </is>
      </c>
      <c r="C58" s="73" t="inlineStr">
        <is>
          <t>?? To map</t>
        </is>
      </c>
      <c r="D58" s="73" t="inlineStr">
        <is>
          <t>— Not found on Apollo —</t>
        </is>
      </c>
      <c r="E58" s="73" t="n"/>
      <c r="F58" s="73" t="n"/>
      <c r="G58" s="73" t="n"/>
      <c r="H58" s="73" t="n"/>
      <c r="I58" s="73" t="n"/>
      <c r="J58" s="73" t="inlineStr">
        <is>
          <t>New</t>
        </is>
      </c>
      <c r="K58" s="73" t="inlineStr">
        <is>
          <t>Medium</t>
        </is>
      </c>
      <c r="P58" s="74" t="n"/>
      <c r="Q58" s="73" t="n"/>
      <c r="R58" s="73" t="n"/>
      <c r="S58" s="73" t="inlineStr">
        <is>
          <t>LinkedIn (manual)</t>
        </is>
      </c>
      <c r="T58" s="73" t="inlineStr">
        <is>
          <t>Lucas</t>
        </is>
      </c>
      <c r="U58" s="74" t="inlineStr">
        <is>
          <t>⚠️ No data on Apollo. Manually search LinkedIn: Current Maintenance or Supplies Manager/Coordinator at the company.</t>
        </is>
      </c>
      <c r="V58" s="74" t="n"/>
      <c r="W58" s="74" t="inlineStr">
        <is>
          <t>Recycling Cycle — Industrial Recycling, ES | ciclo.ind.br</t>
        </is>
      </c>
      <c r="X58" s="73" t="inlineStr">
        <is>
          <t>Industrial Recycling</t>
        </is>
      </c>
      <c r="Y58" s="73" t="inlineStr">
        <is>
          <t>ES</t>
        </is>
      </c>
      <c r="Z58" s="73" t="inlineStr">
        <is>
          <t>ciclo.ind.br</t>
        </is>
      </c>
      <c r="AA58" s="73" t="n"/>
      <c r="AB58" s="73" t="n"/>
      <c r="AC58" s="73" t="n"/>
      <c r="AD58" s="75" t="n">
        <v>46097</v>
      </c>
      <c r="AE58" s="73" t="n"/>
      <c r="AF58" s="73" t="n"/>
    </row>
    <row r="59" ht="45.6" customHeight="1" s="83">
      <c r="A59" s="76" t="n">
        <v>62</v>
      </c>
      <c r="B59" s="76" t="inlineStr">
        <is>
          <t>ECOPLAST</t>
        </is>
      </c>
      <c r="C59" s="76" t="inlineStr">
        <is>
          <t>?? To map</t>
        </is>
      </c>
      <c r="D59" s="76" t="inlineStr">
        <is>
          <t>— Not found on Apollo —</t>
        </is>
      </c>
      <c r="E59" s="76" t="n"/>
      <c r="F59" s="76" t="n"/>
      <c r="G59" s="76" t="n"/>
      <c r="H59" s="76" t="n"/>
      <c r="I59" s="76" t="n"/>
      <c r="J59" s="76" t="inlineStr">
        <is>
          <t>New</t>
        </is>
      </c>
      <c r="K59" s="76" t="inlineStr">
        <is>
          <t>Medium</t>
        </is>
      </c>
      <c r="P59" s="77" t="n"/>
      <c r="Q59" s="76" t="n"/>
      <c r="R59" s="76" t="n"/>
      <c r="S59" s="76" t="inlineStr">
        <is>
          <t>LinkedIn (manual)</t>
        </is>
      </c>
      <c r="T59" s="76" t="inlineStr">
        <is>
          <t>Lucas</t>
        </is>
      </c>
      <c r="U59" s="77" t="inlineStr">
        <is>
          <t>⚠️ No data on Apollo. Manually search LinkedIn: Current Maintenance or Supplies Manager/Coordinator at the company.</t>
        </is>
      </c>
      <c r="V59" s="77" t="n"/>
      <c r="W59" s="77" t="inlineStr">
        <is>
          <t>Ecoplast — Plastics/Recycling, ES | manual search required</t>
        </is>
      </c>
      <c r="X59" s="76" t="inlineStr">
        <is>
          <t>Plastics/Recycling</t>
        </is>
      </c>
      <c r="Y59" s="76" t="inlineStr">
        <is>
          <t>ES</t>
        </is>
      </c>
      <c r="Z59" s="76" t="inlineStr">
        <is>
          <t>manual search required</t>
        </is>
      </c>
      <c r="AA59" s="76" t="n"/>
      <c r="AB59" s="76" t="n"/>
      <c r="AC59" s="76" t="n"/>
      <c r="AD59" s="78" t="n">
        <v>46097</v>
      </c>
      <c r="AE59" s="76" t="n"/>
      <c r="AF59" s="76" t="n"/>
    </row>
    <row r="60" ht="45.6" customHeight="1" s="83">
      <c r="A60" s="73" t="n">
        <v>63</v>
      </c>
      <c r="B60" s="73" t="inlineStr">
        <is>
          <t>RDG</t>
        </is>
      </c>
      <c r="C60" s="73" t="inlineStr">
        <is>
          <t>?? To map</t>
        </is>
      </c>
      <c r="D60" s="73" t="inlineStr">
        <is>
          <t>— Not found on Apollo —</t>
        </is>
      </c>
      <c r="E60" s="73" t="n"/>
      <c r="F60" s="73" t="n"/>
      <c r="G60" s="73" t="n"/>
      <c r="H60" s="73" t="n"/>
      <c r="I60" s="73" t="n"/>
      <c r="J60" s="73" t="inlineStr">
        <is>
          <t>New</t>
        </is>
      </c>
      <c r="K60" s="73" t="inlineStr">
        <is>
          <t>Medium</t>
        </is>
      </c>
      <c r="P60" s="74" t="n"/>
      <c r="Q60" s="73" t="n"/>
      <c r="R60" s="73" t="n"/>
      <c r="S60" s="73" t="inlineStr">
        <is>
          <t>LinkedIn (manual)</t>
        </is>
      </c>
      <c r="T60" s="73" t="inlineStr">
        <is>
          <t>Lucas</t>
        </is>
      </c>
      <c r="U60" s="74" t="inlineStr">
        <is>
          <t>⚠️ No data on Apollo. Manually search LinkedIn: Current Maintenance or Supplies Manager/Coordinator at the company.</t>
        </is>
      </c>
      <c r="V60" s="74" t="n"/>
      <c r="W60" s="74" t="inlineStr">
        <is>
          <t>RDG — ES Company | manual search required</t>
        </is>
      </c>
      <c r="X60" s="73" t="inlineStr">
        <is>
          <t>ES Company</t>
        </is>
      </c>
      <c r="Y60" s="73" t="n"/>
      <c r="Z60" s="73" t="inlineStr">
        <is>
          <t>manual search required</t>
        </is>
      </c>
      <c r="AA60" s="73" t="n"/>
      <c r="AB60" s="73" t="n"/>
      <c r="AC60" s="73" t="n"/>
      <c r="AD60" s="75" t="n">
        <v>46097</v>
      </c>
      <c r="AE60" s="73" t="n"/>
      <c r="AF60" s="73" t="n"/>
    </row>
  </sheetData>
  <autoFilter ref="A1:AB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E26" sqref="E26"/>
    </sheetView>
  </sheetViews>
  <sheetFormatPr baseColWidth="8" defaultRowHeight="14.4"/>
  <cols>
    <col width="17.6640625" bestFit="1" customWidth="1" style="83" min="1" max="1"/>
    <col width="37.21875" bestFit="1" customWidth="1" style="83" min="2" max="2"/>
    <col width="14.5546875" bestFit="1" customWidth="1" style="83" min="3" max="3"/>
    <col width="23.88671875" bestFit="1" customWidth="1" style="83" min="4" max="4"/>
    <col width="16.5546875" bestFit="1" customWidth="1" style="83" min="5" max="5"/>
    <col width="15.109375" bestFit="1" customWidth="1" style="83" min="6" max="7"/>
    <col width="15.6640625" bestFit="1" customWidth="1" style="83" min="8" max="8"/>
    <col width="22.33203125" bestFit="1" customWidth="1" style="83" min="9" max="9"/>
    <col width="18.77734375" bestFit="1" customWidth="1" style="83" min="10" max="10"/>
    <col width="18.88671875" bestFit="1" customWidth="1" style="83" min="11" max="11"/>
    <col width="14.33203125" bestFit="1" customWidth="1" style="83" min="12" max="12"/>
    <col width="192.77734375" bestFit="1" customWidth="1" style="83" min="13" max="13"/>
  </cols>
  <sheetData>
    <row r="1" ht="24" customHeight="1" s="83">
      <c r="A1" s="79" t="inlineStr">
        <is>
          <t>Company</t>
        </is>
      </c>
      <c r="B1" s="79" t="inlineStr">
        <is>
          <t>Sector</t>
        </is>
      </c>
      <c r="C1" s="79" t="inlineStr">
        <is>
          <t>City/State</t>
        </is>
      </c>
      <c r="D1" s="79" t="inlineStr">
        <is>
          <t>Size</t>
        </is>
      </c>
      <c r="E1" s="79" t="inlineStr">
        <is>
          <t>Revenue</t>
        </is>
      </c>
      <c r="F1" s="79" t="inlineStr">
        <is>
          <t>Website</t>
        </is>
      </c>
      <c r="G1" s="79" t="inlineStr">
        <is>
          <t>Phone</t>
        </is>
      </c>
      <c r="H1" s="79" t="inlineStr">
        <is>
          <t>Total Leads</t>
        </is>
      </c>
      <c r="I1" s="79" t="inlineStr">
        <is>
          <t>Leads with Contact</t>
        </is>
      </c>
      <c r="J1" s="79" t="inlineStr">
        <is>
          <t>% with Contact</t>
        </is>
      </c>
      <c r="K1" s="79" t="inlineStr">
        <is>
          <t>High Priority</t>
        </is>
      </c>
      <c r="L1" s="79" t="inlineStr">
        <is>
          <t>Overdue</t>
        </is>
      </c>
      <c r="M1" s="79" t="inlineStr">
        <is>
          <t>Primary Owner</t>
        </is>
      </c>
    </row>
    <row r="2">
      <c r="A2" t="inlineStr">
        <is>
          <t>ANDRADE STONES</t>
        </is>
      </c>
      <c r="B2" t="inlineStr">
        <is>
          <t>Granites and Ornamental Rocks, Serra</t>
        </is>
      </c>
      <c r="C2" t="inlineStr">
        <is>
          <t>ES</t>
        </is>
      </c>
      <c r="D2" t="inlineStr">
        <is>
          <t>~85 func.</t>
        </is>
      </c>
      <c r="F2" t="inlineStr">
        <is>
          <t>andradestones.com</t>
        </is>
      </c>
      <c r="G2" t="inlineStr">
        <is>
          <t>+55 27 2124-1222</t>
        </is>
      </c>
      <c r="H2" t="n">
        <v>2</v>
      </c>
      <c r="I2" t="n">
        <v>2</v>
      </c>
      <c r="J2" s="100" t="n">
        <v>1</v>
      </c>
      <c r="K2" t="n">
        <v>2</v>
      </c>
      <c r="L2" t="n">
        <v>0</v>
      </c>
      <c r="M2" t="inlineStr">
        <is>
          <t>Lucas</t>
        </is>
      </c>
    </row>
    <row r="3">
      <c r="A3" t="inlineStr">
        <is>
          <t>AUTVIX</t>
        </is>
      </c>
      <c r="B3" t="inlineStr">
        <is>
          <t>Industrial Automation</t>
        </is>
      </c>
      <c r="C3" t="inlineStr">
        <is>
          <t>Serra/ES</t>
        </is>
      </c>
      <c r="D3" t="inlineStr">
        <is>
          <t>~160 functions.</t>
        </is>
      </c>
      <c r="E3" t="inlineStr">
        <is>
          <t>R$9M revenue</t>
        </is>
      </c>
      <c r="F3" t="inlineStr">
        <is>
          <t>autvix.com.br</t>
        </is>
      </c>
      <c r="G3" t="inlineStr">
        <is>
          <t>+55 27 3039-6559</t>
        </is>
      </c>
      <c r="H3" t="n">
        <v>9</v>
      </c>
      <c r="I3" t="n">
        <v>2</v>
      </c>
      <c r="J3" s="100" t="n">
        <v>0.2222222222222222</v>
      </c>
      <c r="K3" t="n">
        <v>4</v>
      </c>
      <c r="L3" t="n">
        <v>0</v>
      </c>
    </row>
    <row r="4">
      <c r="A4" t="inlineStr">
        <is>
          <t>BRASIGRAN</t>
        </is>
      </c>
      <c r="B4" t="inlineStr">
        <is>
          <t>Granites and Mining, Serra</t>
        </is>
      </c>
      <c r="C4" t="inlineStr">
        <is>
          <t>ES</t>
        </is>
      </c>
      <c r="D4" t="inlineStr">
        <is>
          <t>~840 func.</t>
        </is>
      </c>
      <c r="F4" t="inlineStr">
        <is>
          <t>brasigran.com.br</t>
        </is>
      </c>
      <c r="H4" t="n">
        <v>2</v>
      </c>
      <c r="I4" t="n">
        <v>2</v>
      </c>
      <c r="J4" s="100" t="n">
        <v>1</v>
      </c>
      <c r="K4" t="n">
        <v>2</v>
      </c>
      <c r="L4" t="n">
        <v>0</v>
      </c>
      <c r="M4" t="inlineStr">
        <is>
          <t>Lucas</t>
        </is>
      </c>
    </row>
    <row r="5">
      <c r="A5" t="inlineStr">
        <is>
          <t>CICLO RECICLAGEM</t>
        </is>
      </c>
      <c r="B5" t="inlineStr">
        <is>
          <t>Industrial Recycling</t>
        </is>
      </c>
      <c r="C5" t="inlineStr">
        <is>
          <t>ES</t>
        </is>
      </c>
      <c r="F5" t="inlineStr">
        <is>
          <t>ciclo.ind.br</t>
        </is>
      </c>
      <c r="H5" t="n">
        <v>1</v>
      </c>
      <c r="I5" t="n">
        <v>0</v>
      </c>
      <c r="J5" s="100" t="n">
        <v>0</v>
      </c>
      <c r="K5" t="n">
        <v>0</v>
      </c>
      <c r="L5" t="n">
        <v>0</v>
      </c>
      <c r="M5" t="inlineStr">
        <is>
          <t>Lucas</t>
        </is>
      </c>
    </row>
    <row r="6">
      <c r="A6" t="inlineStr">
        <is>
          <t>ECOPLAST</t>
        </is>
      </c>
      <c r="B6" t="inlineStr">
        <is>
          <t>Plastics/Recycling</t>
        </is>
      </c>
      <c r="C6" t="inlineStr">
        <is>
          <t>ES</t>
        </is>
      </c>
      <c r="D6" t="inlineStr">
        <is>
          <t>manual search required</t>
        </is>
      </c>
      <c r="H6" t="n">
        <v>1</v>
      </c>
      <c r="I6" t="n">
        <v>0</v>
      </c>
      <c r="J6" s="100" t="n">
        <v>0</v>
      </c>
      <c r="K6" t="n">
        <v>0</v>
      </c>
      <c r="L6" t="n">
        <v>0</v>
      </c>
      <c r="M6" t="inlineStr">
        <is>
          <t>Lucas</t>
        </is>
      </c>
    </row>
    <row r="7">
      <c r="A7" t="inlineStr">
        <is>
          <t>ELKEN</t>
        </is>
      </c>
      <c r="B7" t="inlineStr">
        <is>
          <t>ES Company</t>
        </is>
      </c>
      <c r="D7" t="inlineStr">
        <is>
          <t>manual search required</t>
        </is>
      </c>
      <c r="H7" t="n">
        <v>1</v>
      </c>
      <c r="I7" t="n">
        <v>0</v>
      </c>
      <c r="J7" s="100" t="n">
        <v>0</v>
      </c>
      <c r="K7" t="n">
        <v>0</v>
      </c>
      <c r="L7" t="n">
        <v>0</v>
      </c>
      <c r="M7" t="inlineStr">
        <is>
          <t>Lucas</t>
        </is>
      </c>
    </row>
    <row r="8">
      <c r="A8" t="inlineStr">
        <is>
          <t>FERTPAR</t>
        </is>
      </c>
      <c r="B8" t="inlineStr">
        <is>
          <t>ES Company</t>
        </is>
      </c>
      <c r="D8" t="inlineStr">
        <is>
          <t>manual search required</t>
        </is>
      </c>
      <c r="H8" t="n">
        <v>1</v>
      </c>
      <c r="I8" t="n">
        <v>0</v>
      </c>
      <c r="J8" s="100" t="n">
        <v>0</v>
      </c>
      <c r="K8" t="n">
        <v>0</v>
      </c>
      <c r="L8" t="n">
        <v>0</v>
      </c>
      <c r="M8" t="inlineStr">
        <is>
          <t>Lucas</t>
        </is>
      </c>
    </row>
    <row r="9">
      <c r="A9" t="inlineStr">
        <is>
          <t>FORTLEV</t>
        </is>
      </c>
      <c r="H9" t="n">
        <v>26</v>
      </c>
      <c r="I9" t="n">
        <v>1</v>
      </c>
      <c r="J9" s="100" t="n">
        <v>0.03846153846153846</v>
      </c>
      <c r="K9" t="n">
        <v>9</v>
      </c>
      <c r="L9" t="n">
        <v>0</v>
      </c>
      <c r="M9" t="inlineStr">
        <is>
          <t>Decisor principal de suprimentos</t>
        </is>
      </c>
    </row>
    <row r="10">
      <c r="A10" t="inlineStr">
        <is>
          <t>FORTLEV SOLAR</t>
        </is>
      </c>
      <c r="B10" t="inlineStr">
        <is>
          <t>Photovoltaic Solar Energy, Serra</t>
        </is>
      </c>
      <c r="C10" t="inlineStr">
        <is>
          <t>ES</t>
        </is>
      </c>
      <c r="D10" t="inlineStr">
        <is>
          <t>~260 func.</t>
        </is>
      </c>
      <c r="F10" t="inlineStr">
        <is>
          <t>fortlevsolar.com.br</t>
        </is>
      </c>
      <c r="H10" t="n">
        <v>2</v>
      </c>
      <c r="I10" t="n">
        <v>2</v>
      </c>
      <c r="J10" s="100" t="n">
        <v>1</v>
      </c>
      <c r="K10" t="n">
        <v>2</v>
      </c>
      <c r="L10" t="n">
        <v>0</v>
      </c>
      <c r="M10" t="inlineStr">
        <is>
          <t>Lucas</t>
        </is>
      </c>
    </row>
    <row r="11">
      <c r="A11" t="inlineStr">
        <is>
          <t>GRANLUX</t>
        </is>
      </c>
      <c r="B11" t="inlineStr">
        <is>
          <t>Granites and Marbles, Serra</t>
        </is>
      </c>
      <c r="C11" t="inlineStr">
        <is>
          <t>ES</t>
        </is>
      </c>
      <c r="F11" t="inlineStr">
        <is>
          <t>granluxgranitos.com.br</t>
        </is>
      </c>
      <c r="H11" t="n">
        <v>1</v>
      </c>
      <c r="I11" t="n">
        <v>0</v>
      </c>
      <c r="J11" s="100" t="n">
        <v>0</v>
      </c>
      <c r="K11" t="n">
        <v>0</v>
      </c>
      <c r="L11" t="n">
        <v>0</v>
      </c>
      <c r="M11" t="inlineStr">
        <is>
          <t>Lucas</t>
        </is>
      </c>
    </row>
    <row r="12">
      <c r="A12" t="inlineStr">
        <is>
          <t>IMETAME</t>
        </is>
      </c>
      <c r="B12" t="inlineStr">
        <is>
          <t>Metalmechanics/Industrial, Aracruz</t>
        </is>
      </c>
      <c r="C12" t="inlineStr">
        <is>
          <t>ES</t>
        </is>
      </c>
      <c r="D12" t="inlineStr">
        <is>
          <t>~3,400 func.</t>
        </is>
      </c>
      <c r="F12" t="inlineStr">
        <is>
          <t>imetame.com.br</t>
        </is>
      </c>
      <c r="G12" t="inlineStr">
        <is>
          <t>+55 27 3256-0070</t>
        </is>
      </c>
      <c r="H12" t="n">
        <v>1</v>
      </c>
      <c r="I12" t="n">
        <v>1</v>
      </c>
      <c r="J12" s="100" t="n">
        <v>1</v>
      </c>
      <c r="K12" t="n">
        <v>1</v>
      </c>
      <c r="L12" t="n">
        <v>0</v>
      </c>
    </row>
    <row r="13">
      <c r="A13" t="inlineStr">
        <is>
          <t>LHOIST</t>
        </is>
      </c>
      <c r="B13" t="inlineStr">
        <is>
          <t>Mining/Industrial Lime</t>
        </is>
      </c>
      <c r="C13" t="inlineStr">
        <is>
          <t>ES</t>
        </is>
      </c>
      <c r="D13" t="inlineStr">
        <is>
          <t>~6,600 func. global</t>
        </is>
      </c>
      <c r="E13" t="inlineStr">
        <is>
          <t>R$4.3B revenue</t>
        </is>
      </c>
      <c r="F13" t="inlineStr">
        <is>
          <t>lhoist.com</t>
        </is>
      </c>
      <c r="H13" t="n">
        <v>2</v>
      </c>
      <c r="I13" t="n">
        <v>2</v>
      </c>
      <c r="J13" s="100" t="n">
        <v>1</v>
      </c>
      <c r="K13" t="n">
        <v>2</v>
      </c>
      <c r="L13" t="n">
        <v>0</v>
      </c>
    </row>
    <row r="14">
      <c r="A14" t="inlineStr">
        <is>
          <t>QUANT SERVICE</t>
        </is>
      </c>
      <c r="B14" t="inlineStr">
        <is>
          <t>Industrial Maintenance Outsourcing</t>
        </is>
      </c>
      <c r="C14" t="inlineStr">
        <is>
          <t>ES</t>
        </is>
      </c>
      <c r="D14" t="inlineStr">
        <is>
          <t>~1,100 func.</t>
        </is>
      </c>
      <c r="E14" t="inlineStr">
        <is>
          <t>R$176M revenue</t>
        </is>
      </c>
      <c r="F14" t="inlineStr">
        <is>
          <t>quantservice.com</t>
        </is>
      </c>
      <c r="H14" t="n">
        <v>1</v>
      </c>
      <c r="I14" t="n">
        <v>1</v>
      </c>
      <c r="J14" s="100" t="n">
        <v>1</v>
      </c>
      <c r="K14" t="n">
        <v>1</v>
      </c>
      <c r="L14" t="n">
        <v>0</v>
      </c>
    </row>
    <row r="15">
      <c r="A15" t="inlineStr">
        <is>
          <t>RDG</t>
        </is>
      </c>
      <c r="B15" t="inlineStr">
        <is>
          <t>ES Company</t>
        </is>
      </c>
      <c r="D15" t="inlineStr">
        <is>
          <t>manual search required</t>
        </is>
      </c>
      <c r="H15" t="n">
        <v>1</v>
      </c>
      <c r="I15" t="n">
        <v>0</v>
      </c>
      <c r="J15" s="100" t="n">
        <v>0</v>
      </c>
      <c r="K15" t="n">
        <v>0</v>
      </c>
      <c r="L15" t="n">
        <v>0</v>
      </c>
      <c r="M15" t="inlineStr">
        <is>
          <t>Lucas</t>
        </is>
      </c>
    </row>
    <row r="16">
      <c r="A16" t="inlineStr">
        <is>
          <t>SAMARCO</t>
        </is>
      </c>
      <c r="B16" t="inlineStr">
        <is>
          <t>Mining/Pelletization, Guarapari/Anchieta</t>
        </is>
      </c>
      <c r="C16" t="inlineStr">
        <is>
          <t>ES</t>
        </is>
      </c>
      <c r="D16" t="inlineStr">
        <is>
          <t>~3,600 functions.</t>
        </is>
      </c>
      <c r="E16" t="inlineStr">
        <is>
          <t>R$1.3B revenue</t>
        </is>
      </c>
      <c r="F16" t="inlineStr">
        <is>
          <t>samarco.com</t>
        </is>
      </c>
      <c r="G16" t="inlineStr">
        <is>
          <t>+55 800 033 8485</t>
        </is>
      </c>
      <c r="H16" t="n">
        <v>4</v>
      </c>
      <c r="I16" t="n">
        <v>4</v>
      </c>
      <c r="J16" s="100" t="n">
        <v>1</v>
      </c>
      <c r="K16" t="n">
        <v>3</v>
      </c>
      <c r="L16" t="n">
        <v>0</v>
      </c>
    </row>
    <row r="17">
      <c r="A17" t="inlineStr">
        <is>
          <t>TRIGOMAIS</t>
        </is>
      </c>
      <c r="B17" t="inlineStr">
        <is>
          <t>Food Industry (frozen bread), Serra</t>
        </is>
      </c>
      <c r="C17" t="inlineStr">
        <is>
          <t>ES</t>
        </is>
      </c>
      <c r="D17" t="inlineStr">
        <is>
          <t>~110 func.</t>
        </is>
      </c>
      <c r="F17" t="inlineStr">
        <is>
          <t>trigomais.com.br</t>
        </is>
      </c>
      <c r="G17" t="inlineStr">
        <is>
          <t>+55 27 3218-1411</t>
        </is>
      </c>
      <c r="H17" t="n">
        <v>2</v>
      </c>
      <c r="I17" t="n">
        <v>2</v>
      </c>
      <c r="J17" s="100" t="n">
        <v>1</v>
      </c>
      <c r="K17" t="n">
        <v>1</v>
      </c>
      <c r="L17" t="n">
        <v>0</v>
      </c>
      <c r="M17" t="inlineStr">
        <is>
          <t>Lucas</t>
        </is>
      </c>
    </row>
    <row r="18">
      <c r="A18" t="inlineStr">
        <is>
          <t>V. MINAS</t>
        </is>
      </c>
      <c r="B18" t="inlineStr">
        <is>
          <t>ES Company</t>
        </is>
      </c>
      <c r="D18" t="inlineStr">
        <is>
          <t>manual search required</t>
        </is>
      </c>
      <c r="H18" t="n">
        <v>1</v>
      </c>
      <c r="I18" t="n">
        <v>0</v>
      </c>
      <c r="J18" s="100" t="n">
        <v>0</v>
      </c>
      <c r="K18" t="n">
        <v>0</v>
      </c>
      <c r="L18" t="n">
        <v>0</v>
      </c>
      <c r="M18" t="inlineStr">
        <is>
          <t>Lucas</t>
        </is>
      </c>
    </row>
    <row r="19">
      <c r="A19" t="inlineStr">
        <is>
          <t>VANTEC</t>
        </is>
      </c>
      <c r="B19" t="inlineStr">
        <is>
          <t>ES Company</t>
        </is>
      </c>
      <c r="D19" t="inlineStr">
        <is>
          <t>manual search required</t>
        </is>
      </c>
      <c r="H19" t="n">
        <v>1</v>
      </c>
      <c r="I19" t="n">
        <v>0</v>
      </c>
      <c r="J19" s="100" t="n">
        <v>0</v>
      </c>
      <c r="K19" t="n">
        <v>0</v>
      </c>
      <c r="L19" t="n">
        <v>0</v>
      </c>
      <c r="M19" t="inlineStr">
        <is>
          <t>Lucas</t>
        </is>
      </c>
    </row>
  </sheetData>
  <autoFilter ref="A1:M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2"/>
  <sheetViews>
    <sheetView showGridLines="0" zoomScaleNormal="100" workbookViewId="0">
      <pane ySplit="3" topLeftCell="A4" activePane="bottomLeft" state="frozen"/>
      <selection activeCell="E16" sqref="E16"/>
      <selection pane="bottomLeft" activeCell="E16" sqref="E16"/>
    </sheetView>
  </sheetViews>
  <sheetFormatPr baseColWidth="8" defaultColWidth="8.6640625" defaultRowHeight="15" customHeight="1"/>
  <cols>
    <col width="6.88671875" bestFit="1" customWidth="1" style="83" min="1" max="1"/>
    <col width="18.5546875" bestFit="1" customWidth="1" style="83" min="2" max="2"/>
    <col width="15.109375" bestFit="1" customWidth="1" style="83" min="3" max="3"/>
    <col width="22.88671875" bestFit="1" customWidth="1" style="83" min="4" max="4"/>
    <col width="42.109375" bestFit="1" customWidth="1" style="83" min="5" max="5"/>
    <col width="18.77734375" bestFit="1" customWidth="1" style="83" min="6" max="6"/>
    <col width="33.33203125" bestFit="1" customWidth="1" style="83" min="7" max="7"/>
    <col width="15.109375" bestFit="1" customWidth="1" style="83" min="8" max="8"/>
    <col width="48.21875" bestFit="1" customWidth="1" style="83" min="9" max="9"/>
    <col width="15" bestFit="1" customWidth="1" style="83" min="10" max="10"/>
    <col width="14.5546875" bestFit="1" customWidth="1" style="83" min="11" max="11"/>
    <col width="13.5546875" bestFit="1" customWidth="1" style="83" min="12" max="12"/>
    <col width="79.88671875" bestFit="1" customWidth="1" style="83" min="13" max="13"/>
    <col width="18.21875" bestFit="1" customWidth="1" style="83" min="14" max="14"/>
    <col width="16.88671875" bestFit="1" customWidth="1" style="83" min="15" max="15"/>
    <col width="14" customWidth="1" style="83" min="16" max="16"/>
    <col width="13" customWidth="1" style="83" min="17" max="17"/>
    <col width="14" customWidth="1" style="83" min="18" max="20"/>
    <col width="38" customWidth="1" style="83" min="21" max="21"/>
    <col width="44" customWidth="1" style="83" min="22" max="22"/>
    <col width="48" customWidth="1" style="83" min="23" max="23"/>
    <col width="22" customWidth="1" style="83" min="24" max="24"/>
    <col width="20" customWidth="1" style="83" min="25" max="25"/>
    <col width="16" customWidth="1" style="83" min="26" max="26"/>
    <col width="14" customWidth="1" style="83" min="27" max="28"/>
    <col width="24" customWidth="1" style="83" min="29" max="29"/>
    <col width="18" customWidth="1" style="83" min="30" max="30"/>
  </cols>
  <sheetData>
    <row r="1" ht="42" customHeight="1" s="83">
      <c r="A1" s="82" t="inlineStr">
        <is>
          <t>APEIRON BRAZIL - Contact Management &amp; Prospecting</t>
        </is>
      </c>
    </row>
    <row r="2" ht="24" customHeight="1" s="83">
      <c r="A2" s="84" t="inlineStr">
        <is>
          <t>Flow: New → In Contact → Scheduled Meeting ★ → Proposal Sent ★ → Client ✅ |  ★ = record in global SharePoint spreadsheet</t>
        </is>
      </c>
    </row>
    <row r="3" ht="24" customHeight="1" s="83">
      <c r="A3" s="52" t="inlineStr">
        <is>
          <t>ID</t>
        </is>
      </c>
      <c r="B3" s="52" t="inlineStr">
        <is>
          <t>Company</t>
        </is>
      </c>
      <c r="C3" s="52" t="inlineStr">
        <is>
          <t>First Name</t>
        </is>
      </c>
      <c r="D3" s="52" t="inlineStr">
        <is>
          <t>Last Name</t>
        </is>
      </c>
      <c r="E3" s="52" t="inlineStr">
        <is>
          <t>Role</t>
        </is>
      </c>
      <c r="F3" s="52" t="inlineStr">
        <is>
          <t>Department</t>
        </is>
      </c>
      <c r="G3" s="52" t="inlineStr">
        <is>
          <t>Email</t>
        </is>
      </c>
      <c r="H3" s="52" t="inlineStr">
        <is>
          <t>Phone</t>
        </is>
      </c>
      <c r="I3" s="52" t="inlineStr">
        <is>
          <t>LinkedIn</t>
        </is>
      </c>
      <c r="J3" s="52" t="inlineStr">
        <is>
          <t>Location</t>
        </is>
      </c>
      <c r="K3" s="52" t="inlineStr">
        <is>
          <t>Status</t>
        </is>
      </c>
      <c r="L3" s="52" t="inlineStr">
        <is>
          <t>Priority</t>
        </is>
      </c>
      <c r="M3" t="inlineStr">
        <is>
          <t>Channel Email</t>
        </is>
      </c>
      <c r="N3" t="inlineStr">
        <is>
          <t>Channel Phone</t>
        </is>
      </c>
      <c r="O3" t="inlineStr">
        <is>
          <t>Channel LinkedIn</t>
        </is>
      </c>
      <c r="P3" t="inlineStr">
        <is>
          <t>Channel WhatsApp</t>
        </is>
      </c>
      <c r="Q3" s="52" t="inlineStr">
        <is>
          <t>Next Action</t>
        </is>
      </c>
      <c r="R3" s="52" t="inlineStr">
        <is>
          <t>Next Action Date</t>
        </is>
      </c>
      <c r="S3" s="52" t="inlineStr">
        <is>
          <t>Last Contact</t>
        </is>
      </c>
      <c r="T3" s="52" t="inlineStr">
        <is>
          <t>Source</t>
        </is>
      </c>
      <c r="U3" s="52" t="inlineStr">
        <is>
          <t>Created Date</t>
        </is>
      </c>
      <c r="V3" s="52" t="inlineStr">
        <is>
          <t>SharePoint_ID</t>
        </is>
      </c>
      <c r="W3" s="52" t="inlineStr">
        <is>
          <t>?? Global Status</t>
        </is>
      </c>
      <c r="X3" s="52" t="inlineStr">
        <is>
          <t>Lead Insight</t>
        </is>
      </c>
      <c r="Y3" s="52" t="inlineStr">
        <is>
          <t>Notes</t>
        </is>
      </c>
      <c r="Z3" s="52" t="inlineStr">
        <is>
          <t>?? Apeiron Relevance</t>
        </is>
      </c>
      <c r="AA3" s="52" t="inlineStr">
        <is>
          <t>Account_Summary</t>
        </is>
      </c>
      <c r="AB3" s="52" t="inlineStr">
        <is>
          <t>Account_Company_Block</t>
        </is>
      </c>
      <c r="AC3" s="52" t="inlineStr">
        <is>
          <t>Account_Sector</t>
        </is>
      </c>
      <c r="AD3" s="52" t="inlineStr">
        <is>
          <t>Account_City_State</t>
        </is>
      </c>
      <c r="AE3" s="52" t="inlineStr">
        <is>
          <t>Account_Size</t>
        </is>
      </c>
      <c r="AF3" s="52" t="inlineStr">
        <is>
          <t>Account_Revenue</t>
        </is>
      </c>
      <c r="AG3" s="52" t="inlineStr">
        <is>
          <t>Account_Website</t>
        </is>
      </c>
      <c r="AH3" s="52" t="inlineStr">
        <is>
          <t>Account_Phone</t>
        </is>
      </c>
    </row>
    <row r="4" ht="45" customHeight="1" s="83">
      <c r="A4" s="53" t="n">
        <v>1</v>
      </c>
      <c r="B4" s="54" t="inlineStr">
        <is>
          <t>FORTLEV</t>
        </is>
      </c>
      <c r="C4" s="54" t="inlineStr">
        <is>
          <t>Keylla</t>
        </is>
      </c>
      <c r="D4" s="54" t="inlineStr">
        <is>
          <t>Mollulo</t>
        </is>
      </c>
      <c r="E4" s="54" t="inlineStr">
        <is>
          <t>REC Share Es Unit</t>
        </is>
      </c>
      <c r="F4" s="54" t="inlineStr">
        <is>
          <t>HR</t>
        </is>
      </c>
      <c r="G4" s="54" t="inlineStr">
        <is>
          <t>keylla.pm@fortlev.com.br</t>
        </is>
      </c>
      <c r="H4" s="54" t="n"/>
      <c r="I4" s="54" t="inlineStr">
        <is>
          <t>linkedin.com/in/keylla-mollulo</t>
        </is>
      </c>
      <c r="J4" s="54" t="inlineStr">
        <is>
          <t>Serra, ES</t>
        </is>
      </c>
      <c r="K4" s="55" t="inlineStr">
        <is>
          <t>In Contact</t>
        </is>
      </c>
      <c r="L4" s="56" t="inlineStr">
        <is>
          <t>High</t>
        </is>
      </c>
      <c r="M4" t="inlineStr">
        <is>
          <t>Yes</t>
        </is>
      </c>
      <c r="N4" t="inlineStr"/>
      <c r="O4" t="inlineStr">
        <is>
          <t>Yes</t>
        </is>
      </c>
      <c r="P4" t="inlineStr"/>
      <c r="Q4" s="57" t="inlineStr">
        <is>
          <t>Follow-up after 1st contact</t>
        </is>
      </c>
      <c r="R4" s="53" t="n"/>
      <c r="S4" s="53" t="n"/>
      <c r="T4" s="54" t="inlineStr">
        <is>
          <t>Apollo+LinkedIn</t>
        </is>
      </c>
      <c r="U4" s="58" t="n">
        <v>46093</v>
      </c>
      <c r="V4" s="54" t="n"/>
      <c r="W4" s="59">
        <f>IF(R4&lt;&gt;"","In Global",IF(OR(K4="Meeting Scheduled",K4="Proposal Sent",K4="Client"),"Register",""))</f>
        <v/>
      </c>
      <c r="X4" s="54" t="inlineStr">
        <is>
          <t>Lead original — gerou mapeamento Fortlev</t>
        </is>
      </c>
      <c r="Y4" s="57" t="n"/>
      <c r="Z4" s="57" t="inlineStr">
        <is>
          <t>Lead original do mapeamento Fortlev; acesso a organograma interno e porta de entrada para apresentação institucional à empresa.</t>
        </is>
      </c>
      <c r="AA4" s="67" t="inlineStr">
        <is>
          <t>FORTLEV</t>
        </is>
      </c>
      <c r="AB4" s="67" t="inlineStr">
        <is>
          <t>FORTLEV</t>
        </is>
      </c>
      <c r="AC4" s="67" t="n"/>
      <c r="AD4" s="67" t="n"/>
      <c r="AE4" s="67" t="n"/>
      <c r="AF4" s="67" t="n"/>
      <c r="AG4" s="67" t="inlineStr"/>
      <c r="AH4" s="67" t="inlineStr"/>
    </row>
    <row r="5" ht="45" customHeight="1" s="83">
      <c r="A5" s="60" t="n">
        <v>2</v>
      </c>
      <c r="B5" s="61" t="inlineStr">
        <is>
          <t>FORTLEV</t>
        </is>
      </c>
      <c r="C5" s="61" t="inlineStr">
        <is>
          <t>Jose Luis</t>
        </is>
      </c>
      <c r="D5" s="61" t="inlineStr">
        <is>
          <t>Campos de Faria</t>
        </is>
      </c>
      <c r="E5" s="61" t="inlineStr">
        <is>
          <t>Supply Manager</t>
        </is>
      </c>
      <c r="F5" s="61" t="inlineStr">
        <is>
          <t>Supplies</t>
        </is>
      </c>
      <c r="G5" s="61" t="n"/>
      <c r="H5" s="61" t="n"/>
      <c r="I5" s="61" t="n"/>
      <c r="J5" s="61" t="inlineStr">
        <is>
          <t>Serra, ES</t>
        </is>
      </c>
      <c r="K5" s="62" t="inlineStr">
        <is>
          <t>New</t>
        </is>
      </c>
      <c r="L5" s="56" t="inlineStr">
        <is>
          <t>High</t>
        </is>
      </c>
      <c r="M5" t="inlineStr"/>
      <c r="N5" t="inlineStr"/>
      <c r="O5" t="inlineStr"/>
      <c r="P5" t="inlineStr"/>
      <c r="Q5" s="63" t="inlineStr">
        <is>
          <t>1st contact by email</t>
        </is>
      </c>
      <c r="R5" s="60" t="n"/>
      <c r="S5" s="60" t="n"/>
      <c r="T5" s="61" t="inlineStr">
        <is>
          <t>Apollo+LinkedIn</t>
        </is>
      </c>
      <c r="U5" s="64" t="n">
        <v>46093</v>
      </c>
      <c r="V5" s="61" t="n"/>
      <c r="W5" s="65">
        <f>IF(R5&lt;&gt;"","In Global",IF(OR(K5="Meeting Scheduled",K5="Proposal Sent",K5="Client"),"Register",""))</f>
        <v/>
      </c>
      <c r="X5" s="61" t="inlineStr">
        <is>
          <t>Decisor principal de suprimentos</t>
        </is>
      </c>
      <c r="Y5" s="63" t="n"/>
      <c r="Z5" s="63" t="inlineStr">
        <is>
          <t>Decisor principal de suprimentos da maior planta Fortlev no ES; aprova contratos de novos fornecedores e serviços técnicos — ICP direto.</t>
        </is>
      </c>
      <c r="AA5" s="67" t="inlineStr">
        <is>
          <t>FORTLEV</t>
        </is>
      </c>
      <c r="AB5" s="67" t="inlineStr">
        <is>
          <t>FORTLEV</t>
        </is>
      </c>
      <c r="AC5" s="67" t="n"/>
      <c r="AD5" s="67" t="n"/>
      <c r="AE5" s="67" t="n"/>
      <c r="AF5" s="67" t="n"/>
      <c r="AG5" s="67" t="inlineStr"/>
      <c r="AH5" s="67" t="inlineStr"/>
    </row>
    <row r="6" ht="45" customHeight="1" s="83">
      <c r="A6" s="53" t="n">
        <v>3</v>
      </c>
      <c r="B6" s="54" t="inlineStr">
        <is>
          <t>FORTLEV</t>
        </is>
      </c>
      <c r="C6" s="54" t="inlineStr">
        <is>
          <t>Madson</t>
        </is>
      </c>
      <c r="D6" s="54" t="inlineStr">
        <is>
          <t>Vidal</t>
        </is>
      </c>
      <c r="E6" s="54" t="inlineStr">
        <is>
          <t>Supply Manager</t>
        </is>
      </c>
      <c r="F6" s="54" t="inlineStr">
        <is>
          <t>Supplies</t>
        </is>
      </c>
      <c r="G6" s="54" t="n"/>
      <c r="H6" s="54" t="n"/>
      <c r="I6" s="54" t="n"/>
      <c r="J6" s="54" t="inlineStr">
        <is>
          <t>Serra, ES</t>
        </is>
      </c>
      <c r="K6" s="62" t="inlineStr">
        <is>
          <t>New</t>
        </is>
      </c>
      <c r="L6" s="56" t="inlineStr">
        <is>
          <t>High</t>
        </is>
      </c>
      <c r="M6" t="inlineStr"/>
      <c r="N6" t="inlineStr"/>
      <c r="O6" t="inlineStr"/>
      <c r="P6" t="inlineStr"/>
      <c r="Q6" s="57" t="inlineStr">
        <is>
          <t>1st contact via LinkedIn</t>
        </is>
      </c>
      <c r="R6" s="53" t="n"/>
      <c r="S6" s="53" t="n"/>
      <c r="T6" s="54" t="inlineStr">
        <is>
          <t>Apollo+LinkedIn</t>
        </is>
      </c>
      <c r="U6" s="58" t="n">
        <v>46093</v>
      </c>
      <c r="V6" s="54" t="n"/>
      <c r="W6" s="59">
        <f>IF(R6&lt;&gt;"","In Global",IF(OR(K6="Meeting Scheduled",K6="Proposal Sent",K6="Client"),"Register",""))</f>
        <v/>
      </c>
      <c r="X6" s="54" t="inlineStr">
        <is>
          <t>5k seguidores no LinkedIn — ativo na rede</t>
        </is>
      </c>
      <c r="Y6" s="57" t="n"/>
      <c r="Z6" s="57" t="inlineStr">
        <is>
          <t>Segundo Gerente de Suprimentos; abordagem paralela a Jose Luis amplia cobertura e validação de proposta junto à área compradora.</t>
        </is>
      </c>
      <c r="AA6" s="67" t="inlineStr">
        <is>
          <t>FORTLEV</t>
        </is>
      </c>
      <c r="AB6" s="67" t="inlineStr">
        <is>
          <t>FORTLEV</t>
        </is>
      </c>
      <c r="AC6" s="67" t="n"/>
      <c r="AD6" s="67" t="n"/>
      <c r="AE6" s="67" t="n"/>
      <c r="AF6" s="67" t="n"/>
      <c r="AG6" s="67" t="inlineStr"/>
      <c r="AH6" s="67" t="inlineStr"/>
    </row>
    <row r="7" ht="45" customHeight="1" s="83">
      <c r="A7" s="60" t="n">
        <v>4</v>
      </c>
      <c r="B7" s="61" t="inlineStr">
        <is>
          <t>FORTLEV</t>
        </is>
      </c>
      <c r="C7" s="61" t="inlineStr">
        <is>
          <t>Richard</t>
        </is>
      </c>
      <c r="D7" s="61" t="inlineStr">
        <is>
          <t>Antonio Silva</t>
        </is>
      </c>
      <c r="E7" s="61" t="inlineStr">
        <is>
          <t>Corporate Maintenance Manager</t>
        </is>
      </c>
      <c r="F7" s="61" t="inlineStr">
        <is>
          <t>Maintenance</t>
        </is>
      </c>
      <c r="G7" s="61" t="n"/>
      <c r="H7" s="61" t="n"/>
      <c r="I7" s="61" t="n"/>
      <c r="J7" s="61" t="inlineStr">
        <is>
          <t>Serra, ES</t>
        </is>
      </c>
      <c r="K7" s="62" t="inlineStr">
        <is>
          <t>New</t>
        </is>
      </c>
      <c r="L7" s="56" t="inlineStr">
        <is>
          <t>High</t>
        </is>
      </c>
      <c r="M7" t="inlineStr"/>
      <c r="N7" t="inlineStr"/>
      <c r="O7" t="inlineStr"/>
      <c r="P7" t="inlineStr"/>
      <c r="Q7" s="63" t="inlineStr">
        <is>
          <t>1st contact by email</t>
        </is>
      </c>
      <c r="R7" s="60" t="n"/>
      <c r="S7" s="60" t="n"/>
      <c r="T7" s="61" t="inlineStr">
        <is>
          <t>Apollo+LinkedIn</t>
        </is>
      </c>
      <c r="U7" s="64" t="n">
        <v>46093</v>
      </c>
      <c r="V7" s="61" t="n"/>
      <c r="W7" s="65">
        <f>IF(R7&lt;&gt;"","In Global",IF(OR(K7="Meeting Scheduled",K7="Proposal Sent",K7="Client"),"Register",""))</f>
        <v/>
      </c>
      <c r="X7" s="61" t="inlineStr">
        <is>
          <t>Decisor principal de manutenção</t>
        </is>
      </c>
      <c r="Y7" s="63" t="n"/>
      <c r="Z7" s="63" t="inlineStr">
        <is>
          <t>Gerente de Manutenção Corporativo (escopo nacional); pode aprovar contratos de MRO e serviços técnicos para múltiplas unidades Fortlev — alto leverage.</t>
        </is>
      </c>
      <c r="AA7" s="67" t="inlineStr">
        <is>
          <t>FORTLEV</t>
        </is>
      </c>
      <c r="AB7" s="67" t="inlineStr">
        <is>
          <t>FORTLEV</t>
        </is>
      </c>
      <c r="AC7" s="67" t="n"/>
      <c r="AD7" s="67" t="n"/>
      <c r="AE7" s="67" t="n"/>
      <c r="AF7" s="67" t="n"/>
      <c r="AG7" s="67" t="inlineStr"/>
      <c r="AH7" s="67" t="inlineStr"/>
    </row>
    <row r="8" ht="45" customHeight="1" s="83">
      <c r="A8" s="53" t="n">
        <v>5</v>
      </c>
      <c r="B8" s="54" t="inlineStr">
        <is>
          <t>FORTLEV</t>
        </is>
      </c>
      <c r="C8" s="54" t="inlineStr">
        <is>
          <t>Rogerio</t>
        </is>
      </c>
      <c r="D8" s="54" t="n"/>
      <c r="E8" s="54" t="inlineStr">
        <is>
          <t>Maintenance Manager</t>
        </is>
      </c>
      <c r="F8" s="54" t="inlineStr">
        <is>
          <t>Maintenance</t>
        </is>
      </c>
      <c r="G8" s="54" t="n"/>
      <c r="H8" s="54" t="n"/>
      <c r="I8" s="54" t="n"/>
      <c r="J8" s="54" t="inlineStr">
        <is>
          <t>Espírito Santo, BR</t>
        </is>
      </c>
      <c r="K8" s="62" t="inlineStr">
        <is>
          <t>New</t>
        </is>
      </c>
      <c r="L8" s="56" t="inlineStr">
        <is>
          <t>High</t>
        </is>
      </c>
      <c r="M8" t="inlineStr"/>
      <c r="N8" t="inlineStr"/>
      <c r="O8" t="inlineStr"/>
      <c r="P8" t="inlineStr"/>
      <c r="Q8" s="57" t="inlineStr">
        <is>
          <t>Confirmar sobrenome via LinkedIn</t>
        </is>
      </c>
      <c r="R8" s="53" t="n"/>
      <c r="S8" s="53" t="n"/>
      <c r="T8" s="54" t="inlineStr">
        <is>
          <t>Apollo</t>
        </is>
      </c>
      <c r="U8" s="58" t="n">
        <v>46093</v>
      </c>
      <c r="V8" s="54" t="n"/>
      <c r="W8" s="59">
        <f>IF(R8&lt;&gt;"","In Global",IF(OR(K8="Meeting Scheduled",K8="Proposal Sent",K8="Client"),"Register",""))</f>
        <v/>
      </c>
      <c r="X8" s="54" t="n"/>
      <c r="Y8" s="57" t="n"/>
      <c r="Z8" s="57" t="inlineStr">
        <is>
          <t>Gerente operacional de manutenção na planta ES; define demandas de serviço recorrente, peças e Man Power Support no dia-a-dia.</t>
        </is>
      </c>
      <c r="AA8" s="67" t="inlineStr">
        <is>
          <t>FORTLEV</t>
        </is>
      </c>
      <c r="AB8" s="67" t="inlineStr">
        <is>
          <t>FORTLEV</t>
        </is>
      </c>
      <c r="AC8" s="67" t="n"/>
      <c r="AD8" s="67" t="n"/>
      <c r="AE8" s="67" t="n"/>
      <c r="AF8" s="67" t="n"/>
      <c r="AG8" s="67" t="inlineStr"/>
      <c r="AH8" s="67" t="inlineStr"/>
    </row>
    <row r="9" ht="45" customHeight="1" s="83">
      <c r="A9" s="60" t="n">
        <v>6</v>
      </c>
      <c r="B9" s="61" t="inlineStr">
        <is>
          <t>FORTLEV</t>
        </is>
      </c>
      <c r="C9" s="61" t="inlineStr">
        <is>
          <t>Jefferson</t>
        </is>
      </c>
      <c r="D9" s="61" t="n"/>
      <c r="E9" s="61" t="inlineStr">
        <is>
          <t>Maintenance Supervisor</t>
        </is>
      </c>
      <c r="F9" s="61" t="inlineStr">
        <is>
          <t>Maintenance</t>
        </is>
      </c>
      <c r="G9" s="61" t="n"/>
      <c r="H9" s="61" t="n"/>
      <c r="I9" s="61" t="n"/>
      <c r="J9" s="61" t="inlineStr">
        <is>
          <t>Espírito Santo, BR</t>
        </is>
      </c>
      <c r="K9" s="62" t="inlineStr">
        <is>
          <t>New</t>
        </is>
      </c>
      <c r="L9" s="65" t="inlineStr">
        <is>
          <t>Medium</t>
        </is>
      </c>
      <c r="M9" t="inlineStr"/>
      <c r="N9" t="inlineStr"/>
      <c r="O9" t="inlineStr"/>
      <c r="P9" t="inlineStr"/>
      <c r="Q9" s="63" t="inlineStr">
        <is>
          <t>Abordar após decisores</t>
        </is>
      </c>
      <c r="R9" s="60" t="n"/>
      <c r="S9" s="60" t="n"/>
      <c r="T9" s="61" t="inlineStr">
        <is>
          <t>Apollo</t>
        </is>
      </c>
      <c r="U9" s="64" t="n">
        <v>46093</v>
      </c>
      <c r="V9" s="61" t="n"/>
      <c r="W9" s="65">
        <f>IF(R9&lt;&gt;"","In Global",IF(OR(K9="Meeting Scheduled",K9="Proposal Sent",K9="Client"),"Register",""))</f>
        <v/>
      </c>
      <c r="X9" s="61" t="n"/>
      <c r="Y9" s="63" t="n"/>
      <c r="Z9" s="63" t="inlineStr">
        <is>
          <t>Supervisor who operates maintenance contracts; decides on technical suppliers and service notes — key contact in execution.</t>
        </is>
      </c>
      <c r="AA9" s="67" t="inlineStr">
        <is>
          <t>FORTLEV</t>
        </is>
      </c>
      <c r="AB9" s="67" t="inlineStr">
        <is>
          <t>FORTLEV</t>
        </is>
      </c>
      <c r="AC9" s="67" t="n"/>
      <c r="AD9" s="67" t="n"/>
      <c r="AE9" s="67" t="n"/>
      <c r="AF9" s="67" t="n"/>
      <c r="AG9" s="67" t="inlineStr"/>
      <c r="AH9" s="67" t="inlineStr"/>
    </row>
    <row r="10" ht="45" customHeight="1" s="83">
      <c r="A10" s="53" t="n">
        <v>7</v>
      </c>
      <c r="B10" s="54" t="inlineStr">
        <is>
          <t>FORTLEV</t>
        </is>
      </c>
      <c r="C10" s="54" t="inlineStr">
        <is>
          <t>Rafaella</t>
        </is>
      </c>
      <c r="D10" s="54" t="inlineStr">
        <is>
          <t>Queiróz Pessotti de Almeida</t>
        </is>
      </c>
      <c r="E10" s="54" t="inlineStr">
        <is>
          <t>Supply Specialist</t>
        </is>
      </c>
      <c r="F10" s="54" t="inlineStr">
        <is>
          <t>Supplies</t>
        </is>
      </c>
      <c r="G10" s="54" t="n"/>
      <c r="H10" s="54" t="n"/>
      <c r="I10" s="54" t="n"/>
      <c r="J10" s="54" t="inlineStr">
        <is>
          <t>Serra, ES</t>
        </is>
      </c>
      <c r="K10" s="62" t="inlineStr">
        <is>
          <t>New</t>
        </is>
      </c>
      <c r="L10" s="56" t="inlineStr">
        <is>
          <t>High</t>
        </is>
      </c>
      <c r="M10" t="inlineStr"/>
      <c r="N10" t="inlineStr"/>
      <c r="O10" t="inlineStr"/>
      <c r="P10" t="inlineStr"/>
      <c r="Q10" s="57" t="inlineStr">
        <is>
          <t>1st contact via LinkedIn</t>
        </is>
      </c>
      <c r="R10" s="53" t="n"/>
      <c r="S10" s="53" t="n"/>
      <c r="T10" s="54" t="inlineStr">
        <is>
          <t>Apollo+LinkedIn</t>
        </is>
      </c>
      <c r="U10" s="58" t="n">
        <v>46093</v>
      </c>
      <c r="V10" s="54" t="n"/>
      <c r="W10" s="59">
        <f>IF(R10&lt;&gt;"","In Global",IF(OR(K10="Meeting Scheduled",K10="Proposal Sent",K10="Client"),"Register",""))</f>
        <v/>
      </c>
      <c r="X10" s="54" t="inlineStr">
        <is>
          <t>SAP — Purchasing Strategy</t>
        </is>
      </c>
      <c r="Y10" s="57" t="n"/>
      <c r="Z10" s="57" t="inlineStr">
        <is>
          <t>Especialista técnica que qualifica fornecedores e instrui processos de compra; influencia aprovação de novos cadastros de fornecedores.</t>
        </is>
      </c>
      <c r="AA10" s="67" t="inlineStr">
        <is>
          <t>FORTLEV</t>
        </is>
      </c>
      <c r="AB10" s="67" t="inlineStr">
        <is>
          <t>FORTLEV</t>
        </is>
      </c>
      <c r="AC10" s="67" t="n"/>
      <c r="AD10" s="67" t="n"/>
      <c r="AE10" s="67" t="n"/>
      <c r="AF10" s="67" t="n"/>
      <c r="AG10" s="67" t="inlineStr"/>
      <c r="AH10" s="67" t="inlineStr"/>
    </row>
    <row r="11" ht="45" customHeight="1" s="83">
      <c r="A11" s="60" t="n">
        <v>8</v>
      </c>
      <c r="B11" s="61" t="inlineStr">
        <is>
          <t>FORTLEV</t>
        </is>
      </c>
      <c r="C11" s="61" t="inlineStr">
        <is>
          <t>Daniella</t>
        </is>
      </c>
      <c r="D11" s="61" t="inlineStr">
        <is>
          <t>Lopes</t>
        </is>
      </c>
      <c r="E11" s="61" t="inlineStr">
        <is>
          <t>Supply Specialist</t>
        </is>
      </c>
      <c r="F11" s="61" t="inlineStr">
        <is>
          <t>Supplies</t>
        </is>
      </c>
      <c r="G11" s="61" t="n"/>
      <c r="H11" s="61" t="n"/>
      <c r="I11" s="61" t="n"/>
      <c r="J11" s="61" t="inlineStr">
        <is>
          <t>Espírito Santo, BR</t>
        </is>
      </c>
      <c r="K11" s="62" t="inlineStr">
        <is>
          <t>New</t>
        </is>
      </c>
      <c r="L11" s="56" t="inlineStr">
        <is>
          <t>High</t>
        </is>
      </c>
      <c r="M11" t="inlineStr"/>
      <c r="N11" t="inlineStr"/>
      <c r="O11" t="inlineStr"/>
      <c r="P11" t="inlineStr"/>
      <c r="Q11" s="63" t="inlineStr">
        <is>
          <t>1st contact by email</t>
        </is>
      </c>
      <c r="R11" s="60" t="n"/>
      <c r="S11" s="60" t="n"/>
      <c r="T11" s="61" t="inlineStr">
        <is>
          <t>Apollo+LinkedIn</t>
        </is>
      </c>
      <c r="U11" s="64" t="n">
        <v>46093</v>
      </c>
      <c r="V11" s="61" t="n"/>
      <c r="W11" s="65">
        <f>IF(R11&lt;&gt;"","In Global",IF(OR(K11="Meeting Scheduled",K11="Proposal Sent",K11="Client"),"Register",""))</f>
        <v/>
      </c>
      <c r="X11" s="61" t="inlineStr">
        <is>
          <t>10+ anos em Compras Industriais</t>
        </is>
      </c>
      <c r="Y11" s="63" t="n"/>
      <c r="Z11" s="63" t="inlineStr">
        <is>
          <t>Especialista de suprimentos com conhecimento operacional de compras recorrentes; influencia seleção de fornecedores MRO e materiais técnicos.</t>
        </is>
      </c>
      <c r="AA11" s="67" t="inlineStr">
        <is>
          <t>FORTLEV</t>
        </is>
      </c>
      <c r="AB11" s="67" t="inlineStr">
        <is>
          <t>FORTLEV</t>
        </is>
      </c>
      <c r="AC11" s="67" t="n"/>
      <c r="AD11" s="67" t="n"/>
      <c r="AE11" s="67" t="n"/>
      <c r="AF11" s="67" t="n"/>
      <c r="AG11" s="67" t="inlineStr"/>
      <c r="AH11" s="67" t="inlineStr"/>
    </row>
    <row r="12" ht="45" customHeight="1" s="83">
      <c r="A12" s="53" t="n">
        <v>9</v>
      </c>
      <c r="B12" s="54" t="inlineStr">
        <is>
          <t>FORTLEV</t>
        </is>
      </c>
      <c r="C12" s="54" t="inlineStr">
        <is>
          <t>Robson</t>
        </is>
      </c>
      <c r="D12" s="54" t="inlineStr">
        <is>
          <t>Dal Col Ribeiro</t>
        </is>
      </c>
      <c r="E12" s="54" t="inlineStr">
        <is>
          <t>Supply Specialist - SAP MM</t>
        </is>
      </c>
      <c r="F12" s="54" t="inlineStr">
        <is>
          <t>Supplies</t>
        </is>
      </c>
      <c r="G12" s="54" t="n"/>
      <c r="H12" s="54" t="n"/>
      <c r="I12" s="54" t="n"/>
      <c r="J12" s="54" t="inlineStr">
        <is>
          <t>Serra, ES</t>
        </is>
      </c>
      <c r="K12" s="62" t="inlineStr">
        <is>
          <t>New</t>
        </is>
      </c>
      <c r="L12" s="59" t="inlineStr">
        <is>
          <t>Medium</t>
        </is>
      </c>
      <c r="M12" t="inlineStr"/>
      <c r="N12" t="inlineStr"/>
      <c r="O12" t="inlineStr"/>
      <c r="P12" t="inlineStr"/>
      <c r="Q12" s="57" t="inlineStr">
        <is>
          <t>Abordar após sêniors</t>
        </is>
      </c>
      <c r="R12" s="53" t="n"/>
      <c r="S12" s="53" t="n"/>
      <c r="T12" s="54" t="inlineStr">
        <is>
          <t>Apollo+LinkedIn</t>
        </is>
      </c>
      <c r="U12" s="58" t="n">
        <v>46093</v>
      </c>
      <c r="V12" s="54" t="n"/>
      <c r="W12" s="59">
        <f>IF(R12&lt;&gt;"","In Global",IF(OR(K12="Meeting Scheduled",K12="Proposal Sent",K12="Client"),"Register",""))</f>
        <v/>
      </c>
      <c r="X12" s="54" t="inlineStr">
        <is>
          <t>SAP S/4HANA MM — perfil técnico</t>
        </is>
      </c>
      <c r="Y12" s="57" t="n"/>
      <c r="Z12" s="57" t="inlineStr">
        <is>
          <t>SAP MM Manager — executes purchase orders in the system; critical technical-operational contact for approval and recurring orders.</t>
        </is>
      </c>
      <c r="AA12" s="67" t="inlineStr">
        <is>
          <t>FORTLEV</t>
        </is>
      </c>
      <c r="AB12" s="67" t="inlineStr">
        <is>
          <t>FORTLEV</t>
        </is>
      </c>
      <c r="AC12" s="67" t="n"/>
      <c r="AD12" s="67" t="n"/>
      <c r="AE12" s="67" t="n"/>
      <c r="AF12" s="67" t="n"/>
      <c r="AG12" s="67" t="inlineStr"/>
      <c r="AH12" s="67" t="inlineStr"/>
    </row>
    <row r="13" ht="45" customHeight="1" s="83">
      <c r="A13" s="60" t="n">
        <v>10</v>
      </c>
      <c r="B13" s="61" t="inlineStr">
        <is>
          <t>FORTLEV</t>
        </is>
      </c>
      <c r="C13" s="61" t="inlineStr">
        <is>
          <t>Pablo</t>
        </is>
      </c>
      <c r="D13" s="61" t="inlineStr">
        <is>
          <t>Silva</t>
        </is>
      </c>
      <c r="E13" s="61" t="inlineStr">
        <is>
          <t>Maintenance Specialist</t>
        </is>
      </c>
      <c r="F13" s="61" t="inlineStr">
        <is>
          <t>Maintenance</t>
        </is>
      </c>
      <c r="G13" s="61" t="n"/>
      <c r="H13" s="61" t="n"/>
      <c r="I13" s="61" t="n"/>
      <c r="J13" s="61" t="inlineStr">
        <is>
          <t>Serra, ES</t>
        </is>
      </c>
      <c r="K13" s="62" t="inlineStr">
        <is>
          <t>New</t>
        </is>
      </c>
      <c r="L13" s="56" t="inlineStr">
        <is>
          <t>High</t>
        </is>
      </c>
      <c r="M13" t="inlineStr"/>
      <c r="N13" t="inlineStr"/>
      <c r="O13" t="inlineStr"/>
      <c r="P13" t="inlineStr"/>
      <c r="Q13" s="63" t="inlineStr">
        <is>
          <t>1st contact via LinkedIn</t>
        </is>
      </c>
      <c r="R13" s="60" t="n"/>
      <c r="S13" s="60" t="n"/>
      <c r="T13" s="61" t="inlineStr">
        <is>
          <t>Apollo+LinkedIn</t>
        </is>
      </c>
      <c r="U13" s="64" t="n">
        <v>46093</v>
      </c>
      <c r="V13" s="61" t="n"/>
      <c r="W13" s="65">
        <f>IF(R13&lt;&gt;"","In Global",IF(OR(K13="Meeting Scheduled",K13="Proposal Sent",K13="Client"),"Register",""))</f>
        <v/>
      </c>
      <c r="X13" s="61" t="inlineStr">
        <is>
          <t>Técnico de automação</t>
        </is>
      </c>
      <c r="Y13" s="63" t="n"/>
      <c r="Z13" s="63" t="inlineStr">
        <is>
          <t>Especialista que define especificações técnicas e acompanha execução de serviços; influenciador direto de compras de peças e serviços.</t>
        </is>
      </c>
      <c r="AA13" s="67" t="inlineStr">
        <is>
          <t>FORTLEV</t>
        </is>
      </c>
      <c r="AB13" s="67" t="inlineStr">
        <is>
          <t>FORTLEV</t>
        </is>
      </c>
      <c r="AC13" s="67" t="n"/>
      <c r="AD13" s="67" t="n"/>
      <c r="AE13" s="67" t="n"/>
      <c r="AF13" s="67" t="n"/>
      <c r="AG13" s="67" t="inlineStr"/>
      <c r="AH13" s="67" t="inlineStr"/>
    </row>
    <row r="14" ht="45" customHeight="1" s="83">
      <c r="A14" s="53" t="n">
        <v>11</v>
      </c>
      <c r="B14" s="54" t="inlineStr">
        <is>
          <t>FORTLEV</t>
        </is>
      </c>
      <c r="C14" s="54" t="inlineStr">
        <is>
          <t>Franklin</t>
        </is>
      </c>
      <c r="D14" s="54" t="inlineStr">
        <is>
          <t>Douglas Leal</t>
        </is>
      </c>
      <c r="E14" s="54" t="inlineStr">
        <is>
          <t>Supply Analyst</t>
        </is>
      </c>
      <c r="F14" s="54" t="inlineStr">
        <is>
          <t>Supplies</t>
        </is>
      </c>
      <c r="G14" s="54" t="n"/>
      <c r="H14" s="54" t="n"/>
      <c r="I14" s="54" t="n"/>
      <c r="J14" s="54" t="inlineStr">
        <is>
          <t>Serra, ES</t>
        </is>
      </c>
      <c r="K14" s="59" t="inlineStr">
        <is>
          <t>Meeting Scheduled</t>
        </is>
      </c>
      <c r="L14" s="56" t="inlineStr">
        <is>
          <t>High</t>
        </is>
      </c>
      <c r="M14" t="inlineStr"/>
      <c r="N14" t="inlineStr"/>
      <c r="O14" t="inlineStr"/>
      <c r="P14" t="inlineStr"/>
      <c r="Q14" s="57" t="inlineStr">
        <is>
          <t>Confirmar detalhes reunião</t>
        </is>
      </c>
      <c r="R14" s="53" t="n"/>
      <c r="S14" s="53" t="n"/>
      <c r="T14" s="54" t="inlineStr">
        <is>
          <t>Apollo+LinkedIn</t>
        </is>
      </c>
      <c r="U14" s="58" t="n">
        <v>46093</v>
      </c>
      <c r="V14" s="54" t="inlineStr">
        <is>
          <t>9</t>
        </is>
      </c>
      <c r="W14" s="59">
        <f>IF(R14&lt;&gt;"","In Global",IF(OR(K14="Meeting Scheduled",K14="Proposal Sent",K14="Client"),"Register",""))</f>
        <v/>
      </c>
      <c r="X14" s="54" t="inlineStr">
        <is>
          <t>Já na planilha global (ID 9 e 199) — prob. 100%</t>
        </is>
      </c>
      <c r="Y14" s="57" t="n"/>
      <c r="Z14" s="57" t="inlineStr">
        <is>
          <t>Already registered in the SharePoint global spreadsheet (ID 9) — contact with demonstrated openness; use for warm intro to the rest of the supply team.</t>
        </is>
      </c>
      <c r="AA14" s="67" t="inlineStr">
        <is>
          <t>FORTLEV</t>
        </is>
      </c>
      <c r="AB14" s="67" t="inlineStr">
        <is>
          <t>FORTLEV</t>
        </is>
      </c>
      <c r="AC14" s="67" t="n"/>
      <c r="AD14" s="67" t="n"/>
      <c r="AE14" s="67" t="n"/>
      <c r="AF14" s="67" t="n"/>
      <c r="AG14" s="67" t="inlineStr"/>
      <c r="AH14" s="67" t="inlineStr"/>
    </row>
    <row r="15" ht="45" customHeight="1" s="83">
      <c r="A15" s="60" t="n">
        <v>12</v>
      </c>
      <c r="B15" s="61" t="inlineStr">
        <is>
          <t>FORTLEV</t>
        </is>
      </c>
      <c r="C15" s="61" t="inlineStr">
        <is>
          <t>Mariana</t>
        </is>
      </c>
      <c r="D15" s="61" t="inlineStr">
        <is>
          <t>Branco</t>
        </is>
      </c>
      <c r="E15" s="61" t="inlineStr">
        <is>
          <t>Supply Analyst</t>
        </is>
      </c>
      <c r="F15" s="61" t="inlineStr">
        <is>
          <t>Supplies</t>
        </is>
      </c>
      <c r="G15" s="61" t="n"/>
      <c r="H15" s="61" t="n"/>
      <c r="I15" s="61" t="n"/>
      <c r="J15" s="61" t="inlineStr">
        <is>
          <t>Espírito Santo, BR</t>
        </is>
      </c>
      <c r="K15" s="62" t="inlineStr">
        <is>
          <t>New</t>
        </is>
      </c>
      <c r="L15" s="65" t="inlineStr">
        <is>
          <t>Medium</t>
        </is>
      </c>
      <c r="M15" t="inlineStr"/>
      <c r="N15" t="inlineStr"/>
      <c r="O15" t="inlineStr"/>
      <c r="P15" t="inlineStr"/>
      <c r="Q15" s="63" t="inlineStr">
        <is>
          <t>Abordar via LinkedIn</t>
        </is>
      </c>
      <c r="R15" s="60" t="n"/>
      <c r="S15" s="60" t="n"/>
      <c r="T15" s="61" t="inlineStr">
        <is>
          <t>Apollo+LinkedIn</t>
        </is>
      </c>
      <c r="U15" s="64" t="n">
        <v>46093</v>
      </c>
      <c r="V15" s="61" t="n"/>
      <c r="W15" s="65">
        <f>IF(R15&lt;&gt;"","In Global",IF(OR(K15="Meeting Scheduled",K15="Proposal Sent",K15="Client"),"Register",""))</f>
        <v/>
      </c>
      <c r="X15" s="61" t="n"/>
      <c r="Y15" s="63" t="n"/>
      <c r="Z15" s="63" t="inlineStr">
        <is>
          <t>Analyst who processes requests and POs in the supply flow; operational point of contact for quotations and approval of suppliers.</t>
        </is>
      </c>
      <c r="AA15" s="67" t="inlineStr">
        <is>
          <t>FORTLEV</t>
        </is>
      </c>
      <c r="AB15" s="67" t="inlineStr">
        <is>
          <t>FORTLEV</t>
        </is>
      </c>
      <c r="AC15" s="67" t="n"/>
      <c r="AD15" s="67" t="n"/>
      <c r="AE15" s="67" t="n"/>
      <c r="AF15" s="67" t="n"/>
      <c r="AG15" s="67" t="inlineStr"/>
      <c r="AH15" s="67" t="inlineStr"/>
    </row>
    <row r="16" ht="45" customHeight="1" s="83">
      <c r="A16" s="53" t="n">
        <v>13</v>
      </c>
      <c r="B16" s="54" t="inlineStr">
        <is>
          <t>FORTLEV</t>
        </is>
      </c>
      <c r="C16" s="54" t="inlineStr">
        <is>
          <t>Daniel</t>
        </is>
      </c>
      <c r="D16" s="54" t="inlineStr">
        <is>
          <t>Pessanha Ribeiro</t>
        </is>
      </c>
      <c r="E16" s="54" t="inlineStr">
        <is>
          <t>PL Supply Analyst</t>
        </is>
      </c>
      <c r="F16" s="54" t="inlineStr">
        <is>
          <t>Supplies</t>
        </is>
      </c>
      <c r="G16" s="54" t="n"/>
      <c r="H16" s="54" t="n"/>
      <c r="I16" s="54" t="n"/>
      <c r="J16" s="54" t="inlineStr">
        <is>
          <t>Serra, ES</t>
        </is>
      </c>
      <c r="K16" s="62" t="inlineStr">
        <is>
          <t>New</t>
        </is>
      </c>
      <c r="L16" s="59" t="inlineStr">
        <is>
          <t>Medium</t>
        </is>
      </c>
      <c r="M16" t="inlineStr"/>
      <c r="N16" t="inlineStr"/>
      <c r="O16" t="inlineStr"/>
      <c r="P16" t="inlineStr"/>
      <c r="Q16" s="57" t="inlineStr">
        <is>
          <t>Abordar após especialistas</t>
        </is>
      </c>
      <c r="R16" s="53" t="n"/>
      <c r="S16" s="53" t="n"/>
      <c r="T16" s="54" t="inlineStr">
        <is>
          <t>Apollo+LinkedIn</t>
        </is>
      </c>
      <c r="U16" s="58" t="n">
        <v>46093</v>
      </c>
      <c r="V16" s="54" t="n"/>
      <c r="W16" s="59">
        <f>IF(R16&lt;&gt;"","In Global",IF(OR(K16="Meeting Scheduled",K16="Proposal Sent",K16="Client"),"Register",""))</f>
        <v/>
      </c>
      <c r="X16" s="54" t="inlineStr">
        <is>
          <t>SAP MM e FI — inbound e-procurement</t>
        </is>
      </c>
      <c r="Y16" s="57" t="n"/>
      <c r="Z16" s="57" t="inlineStr">
        <is>
          <t>Analista pleno de suprimentos industriais; apoia qualificação de novos fornecedores e é ponto de entrada para envio de propostas formais.</t>
        </is>
      </c>
      <c r="AA16" s="67" t="inlineStr">
        <is>
          <t>FORTLEV</t>
        </is>
      </c>
      <c r="AB16" s="67" t="inlineStr">
        <is>
          <t>FORTLEV</t>
        </is>
      </c>
      <c r="AC16" s="67" t="n"/>
      <c r="AD16" s="67" t="n"/>
      <c r="AE16" s="67" t="n"/>
      <c r="AF16" s="67" t="n"/>
      <c r="AG16" s="67" t="inlineStr"/>
      <c r="AH16" s="67" t="inlineStr"/>
    </row>
    <row r="17" ht="45" customHeight="1" s="83">
      <c r="A17" s="60" t="n">
        <v>14</v>
      </c>
      <c r="B17" s="61" t="inlineStr">
        <is>
          <t>FORTLEV</t>
        </is>
      </c>
      <c r="C17" s="61" t="inlineStr">
        <is>
          <t>Braulio</t>
        </is>
      </c>
      <c r="D17" s="61" t="inlineStr">
        <is>
          <t>Brito</t>
        </is>
      </c>
      <c r="E17" s="61" t="inlineStr">
        <is>
          <t>Full Supply Analyst</t>
        </is>
      </c>
      <c r="F17" s="61" t="inlineStr">
        <is>
          <t>Supplies</t>
        </is>
      </c>
      <c r="G17" s="61" t="n"/>
      <c r="H17" s="61" t="n"/>
      <c r="I17" s="61" t="n"/>
      <c r="J17" s="61" t="inlineStr">
        <is>
          <t>Serra, ES</t>
        </is>
      </c>
      <c r="K17" s="62" t="inlineStr">
        <is>
          <t>New</t>
        </is>
      </c>
      <c r="L17" s="65" t="inlineStr">
        <is>
          <t>Medium</t>
        </is>
      </c>
      <c r="M17" t="inlineStr"/>
      <c r="N17" t="inlineStr"/>
      <c r="O17" t="inlineStr"/>
      <c r="P17" t="inlineStr"/>
      <c r="Q17" s="63" t="inlineStr">
        <is>
          <t>Abordar via LinkedIn</t>
        </is>
      </c>
      <c r="R17" s="60" t="n"/>
      <c r="S17" s="60" t="n"/>
      <c r="T17" s="61" t="inlineStr">
        <is>
          <t>Apollo+LinkedIn</t>
        </is>
      </c>
      <c r="U17" s="64" t="n">
        <v>46093</v>
      </c>
      <c r="V17" s="61" t="n"/>
      <c r="W17" s="65">
        <f>IF(R17&lt;&gt;"","In Global",IF(OR(K17="Meeting Scheduled",K17="Proposal Sent",K17="Client"),"Register",""))</f>
        <v/>
      </c>
      <c r="X17" s="61" t="inlineStr">
        <is>
          <t>Compras estratégicas — materiais siderúrgicos</t>
        </is>
      </c>
      <c r="Y17" s="63" t="n"/>
      <c r="Z17" s="63" t="inlineStr">
        <is>
          <t>Analista sênior em compras industriais; apoiador do processo de qualificação e interface entre área técnica e compradora.</t>
        </is>
      </c>
      <c r="AA17" s="67" t="inlineStr">
        <is>
          <t>FORTLEV</t>
        </is>
      </c>
      <c r="AB17" s="67" t="inlineStr">
        <is>
          <t>FORTLEV</t>
        </is>
      </c>
      <c r="AC17" s="67" t="n"/>
      <c r="AD17" s="67" t="n"/>
      <c r="AE17" s="67" t="n"/>
      <c r="AF17" s="67" t="n"/>
      <c r="AG17" s="67" t="inlineStr"/>
      <c r="AH17" s="67" t="inlineStr"/>
    </row>
    <row r="18" ht="45" customHeight="1" s="83">
      <c r="A18" s="53" t="n">
        <v>15</v>
      </c>
      <c r="B18" s="54" t="inlineStr">
        <is>
          <t>FORTLEV</t>
        </is>
      </c>
      <c r="C18" s="54" t="inlineStr">
        <is>
          <t>Lorenza</t>
        </is>
      </c>
      <c r="D18" s="54" t="n"/>
      <c r="E18" s="54" t="inlineStr">
        <is>
          <t>Supply Analyst</t>
        </is>
      </c>
      <c r="F18" s="54" t="inlineStr">
        <is>
          <t>Supplies</t>
        </is>
      </c>
      <c r="G18" s="54" t="n"/>
      <c r="H18" s="54" t="n"/>
      <c r="I18" s="54" t="n"/>
      <c r="J18" s="54" t="inlineStr">
        <is>
          <t>Espírito Santo, BR</t>
        </is>
      </c>
      <c r="K18" s="62" t="inlineStr">
        <is>
          <t>New</t>
        </is>
      </c>
      <c r="L18" s="66" t="inlineStr">
        <is>
          <t>Low</t>
        </is>
      </c>
      <c r="M18" t="inlineStr"/>
      <c r="N18" t="inlineStr"/>
      <c r="O18" t="inlineStr"/>
      <c r="P18" t="inlineStr"/>
      <c r="Q18" s="57" t="inlineStr">
        <is>
          <t>Confirmar sobrenome via LinkedIn</t>
        </is>
      </c>
      <c r="R18" s="53" t="n"/>
      <c r="S18" s="53" t="n"/>
      <c r="T18" s="54" t="inlineStr">
        <is>
          <t>Apollo</t>
        </is>
      </c>
      <c r="U18" s="58" t="n">
        <v>46093</v>
      </c>
      <c r="V18" s="54" t="n"/>
      <c r="W18" s="59">
        <f>IF(R18&lt;&gt;"","In Global",IF(OR(K18="Meeting Scheduled",K18="Proposal Sent",K18="Client"),"Register",""))</f>
        <v/>
      </c>
      <c r="X18" s="54" t="n"/>
      <c r="Y18" s="57" t="n"/>
      <c r="Z18" s="57" t="inlineStr">
        <is>
          <t>Analista operacional de supply chain; facilita entrada no fluxo de compras e complementa cobertura paralela na área de suprimentos.</t>
        </is>
      </c>
      <c r="AA18" s="67" t="inlineStr">
        <is>
          <t>FORTLEV</t>
        </is>
      </c>
      <c r="AB18" s="67" t="inlineStr">
        <is>
          <t>FORTLEV</t>
        </is>
      </c>
      <c r="AC18" s="67" t="n"/>
      <c r="AD18" s="67" t="n"/>
      <c r="AE18" s="67" t="n"/>
      <c r="AF18" s="67" t="n"/>
      <c r="AG18" s="67" t="inlineStr"/>
      <c r="AH18" s="67" t="inlineStr"/>
    </row>
    <row r="19" ht="45" customHeight="1" s="83">
      <c r="A19" s="60" t="n">
        <v>16</v>
      </c>
      <c r="B19" s="61" t="inlineStr">
        <is>
          <t>FORTLEV</t>
        </is>
      </c>
      <c r="C19" s="61" t="inlineStr">
        <is>
          <t>Mathews José</t>
        </is>
      </c>
      <c r="D19" s="61" t="inlineStr">
        <is>
          <t>Peixoto de Oliveira</t>
        </is>
      </c>
      <c r="E19" s="61" t="inlineStr">
        <is>
          <t>Maintenance Planning and Control Analyst</t>
        </is>
      </c>
      <c r="F19" s="61" t="inlineStr">
        <is>
          <t>Maintenance</t>
        </is>
      </c>
      <c r="G19" s="61" t="n"/>
      <c r="H19" s="61" t="n"/>
      <c r="I19" s="61" t="n"/>
      <c r="J19" s="61" t="inlineStr">
        <is>
          <t>Serra, ES</t>
        </is>
      </c>
      <c r="K19" s="62" t="inlineStr">
        <is>
          <t>New</t>
        </is>
      </c>
      <c r="L19" s="65" t="inlineStr">
        <is>
          <t>Medium</t>
        </is>
      </c>
      <c r="M19" t="inlineStr"/>
      <c r="N19" t="inlineStr"/>
      <c r="O19" t="inlineStr"/>
      <c r="P19" t="inlineStr"/>
      <c r="Q19" s="63" t="inlineStr">
        <is>
          <t>Abordar via LinkedIn</t>
        </is>
      </c>
      <c r="R19" s="60" t="n"/>
      <c r="S19" s="60" t="n"/>
      <c r="T19" s="61" t="inlineStr">
        <is>
          <t>Apollo+LinkedIn</t>
        </is>
      </c>
      <c r="U19" s="64" t="n">
        <v>46093</v>
      </c>
      <c r="V19" s="61" t="n"/>
      <c r="W19" s="65">
        <f>IF(R19&lt;&gt;"","In Global",IF(OR(K19="Meeting Scheduled",K19="Proposal Sent",K19="Client"),"Register",""))</f>
        <v/>
      </c>
      <c r="X19" s="61" t="inlineStr">
        <is>
          <t>Engenheiro Mecânico — PCM</t>
        </is>
      </c>
      <c r="Y19" s="63" t="n"/>
      <c r="Z19" s="63" t="inlineStr">
        <is>
          <t>Analista de PCM (Planejamento e Controle de Manutenção); programa demandas futuras de manutenção e serviços terceirizados — visão antecipada de oportunidades.</t>
        </is>
      </c>
      <c r="AA19" s="67" t="inlineStr">
        <is>
          <t>FORTLEV</t>
        </is>
      </c>
      <c r="AB19" s="67" t="inlineStr">
        <is>
          <t>FORTLEV</t>
        </is>
      </c>
      <c r="AC19" s="67" t="n"/>
      <c r="AD19" s="67" t="n"/>
      <c r="AE19" s="67" t="n"/>
      <c r="AF19" s="67" t="n"/>
      <c r="AG19" s="67" t="inlineStr"/>
      <c r="AH19" s="67" t="inlineStr"/>
    </row>
    <row r="20" ht="45" customHeight="1" s="83">
      <c r="A20" s="53" t="n">
        <v>17</v>
      </c>
      <c r="B20" s="54" t="inlineStr">
        <is>
          <t>FORTLEV</t>
        </is>
      </c>
      <c r="C20" s="54" t="inlineStr">
        <is>
          <t>Nycolle</t>
        </is>
      </c>
      <c r="D20" s="54" t="inlineStr">
        <is>
          <t>Salles</t>
        </is>
      </c>
      <c r="E20" s="54" t="inlineStr">
        <is>
          <t>Maintenance Engineering</t>
        </is>
      </c>
      <c r="F20" s="54" t="inlineStr">
        <is>
          <t>Maintenance</t>
        </is>
      </c>
      <c r="G20" s="54" t="n"/>
      <c r="H20" s="54" t="n"/>
      <c r="I20" s="54" t="n"/>
      <c r="J20" s="54" t="inlineStr">
        <is>
          <t>Espírito Santo, BR</t>
        </is>
      </c>
      <c r="K20" s="62" t="inlineStr">
        <is>
          <t>New</t>
        </is>
      </c>
      <c r="L20" s="59" t="inlineStr">
        <is>
          <t>Medium</t>
        </is>
      </c>
      <c r="M20" t="inlineStr"/>
      <c r="N20" t="inlineStr"/>
      <c r="O20" t="inlineStr"/>
      <c r="P20" t="inlineStr"/>
      <c r="Q20" s="57" t="inlineStr">
        <is>
          <t>Abordar via LinkedIn</t>
        </is>
      </c>
      <c r="R20" s="53" t="n"/>
      <c r="S20" s="53" t="n"/>
      <c r="T20" s="54" t="inlineStr">
        <is>
          <t>Apollo+LinkedIn</t>
        </is>
      </c>
      <c r="U20" s="58" t="n">
        <v>46093</v>
      </c>
      <c r="V20" s="54" t="n"/>
      <c r="W20" s="59">
        <f>IF(R20&lt;&gt;"","In Global",IF(OR(K20="Meeting Scheduled",K20="Proposal Sent",K20="Client"),"Register",""))</f>
        <v/>
      </c>
      <c r="X20" s="54" t="inlineStr">
        <is>
          <t>Mecânica Industrial</t>
        </is>
      </c>
      <c r="Y20" s="57" t="n"/>
      <c r="Z20" s="57" t="inlineStr">
        <is>
          <t>Engenheira de manutenção que especifica soluções técnicas; define requisitos para projetos de automação e manutenção — influenciadora de escopo técnico.</t>
        </is>
      </c>
      <c r="AA20" s="67" t="inlineStr">
        <is>
          <t>FORTLEV</t>
        </is>
      </c>
      <c r="AB20" s="67" t="inlineStr">
        <is>
          <t>FORTLEV</t>
        </is>
      </c>
      <c r="AC20" s="67" t="n"/>
      <c r="AD20" s="67" t="n"/>
      <c r="AE20" s="67" t="n"/>
      <c r="AF20" s="67" t="n"/>
      <c r="AG20" s="67" t="inlineStr"/>
      <c r="AH20" s="67" t="inlineStr"/>
    </row>
    <row r="21" ht="45" customHeight="1" s="83">
      <c r="A21" s="60" t="n">
        <v>18</v>
      </c>
      <c r="B21" s="61" t="inlineStr">
        <is>
          <t>FORTLEV</t>
        </is>
      </c>
      <c r="C21" s="61" t="inlineStr">
        <is>
          <t>Valdiney</t>
        </is>
      </c>
      <c r="D21" s="61" t="inlineStr">
        <is>
          <t>Soares</t>
        </is>
      </c>
      <c r="E21" s="61" t="inlineStr">
        <is>
          <t>Maintenance Leader</t>
        </is>
      </c>
      <c r="F21" s="61" t="inlineStr">
        <is>
          <t>Maintenance</t>
        </is>
      </c>
      <c r="G21" s="61" t="n"/>
      <c r="H21" s="61" t="n"/>
      <c r="I21" s="61" t="n"/>
      <c r="J21" s="61" t="inlineStr">
        <is>
          <t>Serra, ES</t>
        </is>
      </c>
      <c r="K21" s="62" t="inlineStr">
        <is>
          <t>New</t>
        </is>
      </c>
      <c r="L21" s="65" t="inlineStr">
        <is>
          <t>Medium</t>
        </is>
      </c>
      <c r="M21" t="inlineStr"/>
      <c r="N21" t="inlineStr"/>
      <c r="O21" t="inlineStr"/>
      <c r="P21" t="inlineStr"/>
      <c r="Q21" s="63" t="inlineStr">
        <is>
          <t>Abordar via LinkedIn</t>
        </is>
      </c>
      <c r="R21" s="60" t="n"/>
      <c r="S21" s="60" t="n"/>
      <c r="T21" s="61" t="inlineStr">
        <is>
          <t>Apollo+LinkedIn</t>
        </is>
      </c>
      <c r="U21" s="64" t="n">
        <v>46093</v>
      </c>
      <c r="V21" s="61" t="n"/>
      <c r="W21" s="65">
        <f>IF(R21&lt;&gt;"","In Global",IF(OR(K21="Meeting Scheduled",K21="Proposal Sent",K21="Client"),"Register",""))</f>
        <v/>
      </c>
      <c r="X21" s="61" t="n"/>
      <c r="Y21" s="63" t="n"/>
      <c r="Z21" s="63" t="inlineStr">
        <is>
          <t>Líder operacional de manutenção de planta; decide fornecedores e serviços no nível de chão de fábrica — influenciador direto de contratos Man Power.</t>
        </is>
      </c>
      <c r="AA21" s="67" t="inlineStr">
        <is>
          <t>FORTLEV</t>
        </is>
      </c>
      <c r="AB21" s="67" t="inlineStr">
        <is>
          <t>FORTLEV</t>
        </is>
      </c>
      <c r="AC21" s="67" t="n"/>
      <c r="AD21" s="67" t="n"/>
      <c r="AE21" s="67" t="n"/>
      <c r="AF21" s="67" t="n"/>
      <c r="AG21" s="67" t="inlineStr"/>
      <c r="AH21" s="67" t="inlineStr"/>
    </row>
    <row r="22" ht="45" customHeight="1" s="83">
      <c r="A22" s="53" t="n">
        <v>19</v>
      </c>
      <c r="B22" s="54" t="inlineStr">
        <is>
          <t>FORTLEV</t>
        </is>
      </c>
      <c r="C22" s="54" t="inlineStr">
        <is>
          <t>Luan</t>
        </is>
      </c>
      <c r="D22" s="54" t="inlineStr">
        <is>
          <t>Batista</t>
        </is>
      </c>
      <c r="E22" s="54" t="inlineStr">
        <is>
          <t>Maintenance Coordinator</t>
        </is>
      </c>
      <c r="F22" s="54" t="inlineStr">
        <is>
          <t>Maintenance</t>
        </is>
      </c>
      <c r="G22" s="54" t="n"/>
      <c r="H22" s="54" t="n"/>
      <c r="I22" s="54" t="n"/>
      <c r="J22" s="54" t="inlineStr">
        <is>
          <t>Serra, ES</t>
        </is>
      </c>
      <c r="K22" s="62" t="inlineStr">
        <is>
          <t>New</t>
        </is>
      </c>
      <c r="L22" s="59" t="inlineStr">
        <is>
          <t>Medium</t>
        </is>
      </c>
      <c r="M22" t="inlineStr"/>
      <c r="N22" t="inlineStr"/>
      <c r="O22" t="inlineStr"/>
      <c r="P22" t="inlineStr"/>
      <c r="Q22" s="57" t="inlineStr">
        <is>
          <t>Abordar via LinkedIn</t>
        </is>
      </c>
      <c r="R22" s="53" t="n"/>
      <c r="S22" s="53" t="n"/>
      <c r="T22" s="54" t="inlineStr">
        <is>
          <t>Apollo+LinkedIn</t>
        </is>
      </c>
      <c r="U22" s="58" t="n">
        <v>46093</v>
      </c>
      <c r="V22" s="54" t="n"/>
      <c r="W22" s="59">
        <f>IF(R22&lt;&gt;"","In Global",IF(OR(K22="Meeting Scheduled",K22="Proposal Sent",K22="Client"),"Register",""))</f>
        <v/>
      </c>
      <c r="X22" s="54" t="inlineStr">
        <is>
          <t>Engenheiro mecânico — confiabilidade</t>
        </is>
      </c>
      <c r="Y22" s="57" t="n"/>
      <c r="Z22" s="57" t="inlineStr">
        <is>
          <t>Maintenance coordinator with planning and execution vision; natural contact for technical service proposals, parts and Man Power Support.</t>
        </is>
      </c>
      <c r="AA22" s="67" t="inlineStr">
        <is>
          <t>FORTLEV</t>
        </is>
      </c>
      <c r="AB22" s="67" t="inlineStr">
        <is>
          <t>FORTLEV</t>
        </is>
      </c>
      <c r="AC22" s="67" t="n"/>
      <c r="AD22" s="67" t="n"/>
      <c r="AE22" s="67" t="n"/>
      <c r="AF22" s="67" t="n"/>
      <c r="AG22" s="67" t="inlineStr"/>
      <c r="AH22" s="67" t="inlineStr"/>
    </row>
    <row r="23" ht="45" customHeight="1" s="83">
      <c r="A23" s="60" t="n">
        <v>20</v>
      </c>
      <c r="B23" s="61" t="inlineStr">
        <is>
          <t>FORTLEV</t>
        </is>
      </c>
      <c r="C23" s="61" t="inlineStr">
        <is>
          <t>Arthur</t>
        </is>
      </c>
      <c r="D23" s="61" t="n"/>
      <c r="E23" s="61" t="inlineStr">
        <is>
          <t>Junior PCM Analyst</t>
        </is>
      </c>
      <c r="F23" s="61" t="inlineStr">
        <is>
          <t>Maintenance</t>
        </is>
      </c>
      <c r="G23" s="61" t="n"/>
      <c r="H23" s="61" t="n"/>
      <c r="I23" s="61" t="n"/>
      <c r="J23" s="61" t="inlineStr">
        <is>
          <t>Espírito Santo, BR</t>
        </is>
      </c>
      <c r="K23" s="62" t="inlineStr">
        <is>
          <t>New</t>
        </is>
      </c>
      <c r="L23" s="66" t="inlineStr">
        <is>
          <t>Low</t>
        </is>
      </c>
      <c r="M23" t="inlineStr"/>
      <c r="N23" t="inlineStr"/>
      <c r="O23" t="inlineStr"/>
      <c r="P23" t="inlineStr"/>
      <c r="Q23" s="63" t="inlineStr">
        <is>
          <t>Confirmar sobrenome via LinkedIn</t>
        </is>
      </c>
      <c r="R23" s="60" t="n"/>
      <c r="S23" s="60" t="n"/>
      <c r="T23" s="61" t="inlineStr">
        <is>
          <t>Apollo</t>
        </is>
      </c>
      <c r="U23" s="64" t="n">
        <v>46093</v>
      </c>
      <c r="V23" s="61" t="n"/>
      <c r="W23" s="65">
        <f>IF(R23&lt;&gt;"","In Global",IF(OR(K23="Meeting Scheduled",K23="Proposal Sent",K23="Client"),"Register",""))</f>
        <v/>
      </c>
      <c r="X23" s="61" t="n"/>
      <c r="Y23" s="63" t="n"/>
      <c r="Z23" s="63" t="inlineStr">
        <is>
          <t>Analista de PCM júnior com acesso a OS e cronogramas de manutenção; mapeamento de demandas programadas e identificação de gaps técnicos.</t>
        </is>
      </c>
      <c r="AA23" s="67" t="inlineStr">
        <is>
          <t>FORTLEV</t>
        </is>
      </c>
      <c r="AB23" s="67" t="inlineStr">
        <is>
          <t>FORTLEV</t>
        </is>
      </c>
      <c r="AC23" s="67" t="n"/>
      <c r="AD23" s="67" t="n"/>
      <c r="AE23" s="67" t="n"/>
      <c r="AF23" s="67" t="n"/>
      <c r="AG23" s="67" t="inlineStr"/>
      <c r="AH23" s="67" t="inlineStr"/>
    </row>
    <row r="24" ht="45" customHeight="1" s="83">
      <c r="A24" s="53" t="n">
        <v>21</v>
      </c>
      <c r="B24" s="54" t="inlineStr">
        <is>
          <t>FORTLEV</t>
        </is>
      </c>
      <c r="C24" s="54" t="inlineStr">
        <is>
          <t>Joao</t>
        </is>
      </c>
      <c r="D24" s="54" t="n"/>
      <c r="E24" s="54" t="inlineStr">
        <is>
          <t>Maintenance Electrician</t>
        </is>
      </c>
      <c r="F24" s="54" t="inlineStr">
        <is>
          <t>Maintenance</t>
        </is>
      </c>
      <c r="G24" s="54" t="n"/>
      <c r="H24" s="54" t="n"/>
      <c r="I24" s="54" t="n"/>
      <c r="J24" s="54" t="inlineStr">
        <is>
          <t>Serra, ES</t>
        </is>
      </c>
      <c r="K24" s="62" t="inlineStr">
        <is>
          <t>New</t>
        </is>
      </c>
      <c r="L24" s="66" t="inlineStr">
        <is>
          <t>Low</t>
        </is>
      </c>
      <c r="M24" t="inlineStr"/>
      <c r="N24" t="inlineStr"/>
      <c r="O24" t="inlineStr"/>
      <c r="P24" t="inlineStr"/>
      <c r="Q24" s="57" t="inlineStr">
        <is>
          <t>Confirmar dados</t>
        </is>
      </c>
      <c r="R24" s="53" t="n"/>
      <c r="S24" s="53" t="n"/>
      <c r="T24" s="54" t="inlineStr">
        <is>
          <t>Apollo</t>
        </is>
      </c>
      <c r="U24" s="58" t="n">
        <v>46093</v>
      </c>
      <c r="V24" s="54" t="n"/>
      <c r="W24" s="59">
        <f>IF(R24&lt;&gt;"","In Global",IF(OR(K24="Meeting Scheduled",K24="Proposal Sent",K24="Client"),"Register",""))</f>
        <v/>
      </c>
      <c r="X24" s="54" t="n"/>
      <c r="Y24" s="57" t="n"/>
      <c r="Z24" s="57" t="inlineStr">
        <is>
          <t>Electrical maintenance technician; field contact to understand practical needs and reinforce operational relationships at the plant.</t>
        </is>
      </c>
      <c r="AA24" s="67" t="inlineStr">
        <is>
          <t>FORTLEV</t>
        </is>
      </c>
      <c r="AB24" s="67" t="inlineStr">
        <is>
          <t>FORTLEV</t>
        </is>
      </c>
      <c r="AC24" s="67" t="n"/>
      <c r="AD24" s="67" t="n"/>
      <c r="AE24" s="67" t="n"/>
      <c r="AF24" s="67" t="n"/>
      <c r="AG24" s="67" t="inlineStr"/>
      <c r="AH24" s="67" t="inlineStr"/>
    </row>
    <row r="25" ht="45" customHeight="1" s="83">
      <c r="A25" s="60" t="n">
        <v>22</v>
      </c>
      <c r="B25" s="61" t="inlineStr">
        <is>
          <t>FORTLEV</t>
        </is>
      </c>
      <c r="C25" s="61" t="inlineStr">
        <is>
          <t>Gildasio</t>
        </is>
      </c>
      <c r="D25" s="61" t="inlineStr">
        <is>
          <t>Oliveira</t>
        </is>
      </c>
      <c r="E25" s="61" t="inlineStr">
        <is>
          <t>Industrial Maintenance Leader</t>
        </is>
      </c>
      <c r="F25" s="61" t="inlineStr">
        <is>
          <t>Maintenance</t>
        </is>
      </c>
      <c r="G25" s="61" t="n"/>
      <c r="H25" s="61" t="n"/>
      <c r="I25" s="61" t="n"/>
      <c r="J25" s="61" t="inlineStr">
        <is>
          <t>Serra, ES</t>
        </is>
      </c>
      <c r="K25" s="62" t="inlineStr">
        <is>
          <t>New</t>
        </is>
      </c>
      <c r="L25" s="66" t="inlineStr">
        <is>
          <t>Low</t>
        </is>
      </c>
      <c r="M25" t="inlineStr"/>
      <c r="N25" t="inlineStr"/>
      <c r="O25" t="inlineStr"/>
      <c r="P25" t="inlineStr"/>
      <c r="Q25" s="63" t="inlineStr">
        <is>
          <t>Confirmar dados</t>
        </is>
      </c>
      <c r="R25" s="60" t="n"/>
      <c r="S25" s="60" t="n"/>
      <c r="T25" s="61" t="inlineStr">
        <is>
          <t>Apollo</t>
        </is>
      </c>
      <c r="U25" s="64" t="n">
        <v>46093</v>
      </c>
      <c r="V25" s="61" t="n"/>
      <c r="W25" s="65">
        <f>IF(R25&lt;&gt;"","In Global",IF(OR(K25="Meeting Scheduled",K25="Proposal Sent",K25="Client"),"Register",""))</f>
        <v/>
      </c>
      <c r="X25" s="61" t="n"/>
      <c r="Y25" s="63" t="n"/>
      <c r="Z25" s="63" t="inlineStr">
        <is>
          <t>Líder de manutenção industrial responsável por equipes no chão de fábrica; decide terceirizações pontuais de mão de obra e serviços de campo.</t>
        </is>
      </c>
      <c r="AA25" s="67" t="inlineStr">
        <is>
          <t>FORTLEV</t>
        </is>
      </c>
      <c r="AB25" s="67" t="inlineStr">
        <is>
          <t>FORTLEV</t>
        </is>
      </c>
      <c r="AC25" s="67" t="n"/>
      <c r="AD25" s="67" t="n"/>
      <c r="AE25" s="67" t="n"/>
      <c r="AF25" s="67" t="n"/>
      <c r="AG25" s="67" t="inlineStr"/>
      <c r="AH25" s="67" t="inlineStr"/>
    </row>
    <row r="26" ht="45" customHeight="1" s="83">
      <c r="A26" s="53" t="n">
        <v>23</v>
      </c>
      <c r="B26" s="54" t="inlineStr">
        <is>
          <t>FORTLEV</t>
        </is>
      </c>
      <c r="C26" s="54" t="inlineStr">
        <is>
          <t>Gildasio</t>
        </is>
      </c>
      <c r="D26" s="54" t="inlineStr">
        <is>
          <t>Oliveira</t>
        </is>
      </c>
      <c r="E26" s="54" t="inlineStr">
        <is>
          <t>Mechanical Maintenance Leader</t>
        </is>
      </c>
      <c r="F26" s="54" t="inlineStr">
        <is>
          <t>Maintenance</t>
        </is>
      </c>
      <c r="G26" s="54" t="n"/>
      <c r="H26" s="54" t="n"/>
      <c r="I26" s="54" t="n"/>
      <c r="J26" s="54" t="inlineStr">
        <is>
          <t>Serra, ES</t>
        </is>
      </c>
      <c r="K26" s="62" t="inlineStr">
        <is>
          <t>New</t>
        </is>
      </c>
      <c r="L26" s="66" t="inlineStr">
        <is>
          <t>Low</t>
        </is>
      </c>
      <c r="M26" t="inlineStr"/>
      <c r="N26" t="inlineStr"/>
      <c r="O26" t="inlineStr"/>
      <c r="P26" t="inlineStr"/>
      <c r="Q26" s="57" t="inlineStr">
        <is>
          <t>Verificar se é duplicata do ID 22</t>
        </is>
      </c>
      <c r="R26" s="53" t="n"/>
      <c r="S26" s="53" t="n"/>
      <c r="T26" s="54" t="inlineStr">
        <is>
          <t>Apollo</t>
        </is>
      </c>
      <c r="U26" s="58" t="n">
        <v>46093</v>
      </c>
      <c r="V26" s="54" t="n"/>
      <c r="W26" s="59">
        <f>IF(R26&lt;&gt;"","In Global",IF(OR(K26="Meeting Scheduled",K26="Proposal Sent",K26="Client"),"Register",""))</f>
        <v/>
      </c>
      <c r="X26" s="54" t="inlineStr">
        <is>
          <t>Possível duplicata — validar</t>
        </is>
      </c>
      <c r="Y26" s="57" t="n"/>
      <c r="Z26" s="57" t="inlineStr">
        <is>
          <t>Líder mecânico de manutenção; decisor de serviços mecânicos industriais e possíveis projetos de reforma de máquinas e equipamentos.</t>
        </is>
      </c>
      <c r="AA26" s="67" t="inlineStr">
        <is>
          <t>FORTLEV</t>
        </is>
      </c>
      <c r="AB26" s="67" t="inlineStr">
        <is>
          <t>FORTLEV</t>
        </is>
      </c>
      <c r="AC26" s="67" t="n"/>
      <c r="AD26" s="67" t="n"/>
      <c r="AE26" s="67" t="n"/>
      <c r="AF26" s="67" t="n"/>
      <c r="AG26" s="67" t="inlineStr"/>
      <c r="AH26" s="67" t="inlineStr"/>
    </row>
    <row r="27" ht="45" customHeight="1" s="83">
      <c r="A27" s="60" t="n">
        <v>24</v>
      </c>
      <c r="B27" s="61" t="inlineStr">
        <is>
          <t>FORTLEV</t>
        </is>
      </c>
      <c r="C27" s="61" t="inlineStr">
        <is>
          <t>Filipe</t>
        </is>
      </c>
      <c r="D27" s="61" t="n"/>
      <c r="E27" s="61" t="inlineStr">
        <is>
          <t>Storekeeper</t>
        </is>
      </c>
      <c r="F27" s="61" t="inlineStr">
        <is>
          <t>Warehouse</t>
        </is>
      </c>
      <c r="G27" s="61" t="n"/>
      <c r="H27" s="61" t="n"/>
      <c r="I27" s="61" t="n"/>
      <c r="J27" s="61" t="inlineStr">
        <is>
          <t>Serra, ES</t>
        </is>
      </c>
      <c r="K27" s="62" t="inlineStr">
        <is>
          <t>New</t>
        </is>
      </c>
      <c r="L27" s="66" t="inlineStr">
        <is>
          <t>Low</t>
        </is>
      </c>
      <c r="M27" t="inlineStr"/>
      <c r="N27" t="inlineStr"/>
      <c r="O27" t="inlineStr"/>
      <c r="P27" t="inlineStr"/>
      <c r="Q27" s="63" t="inlineStr">
        <is>
          <t>Confirmar sobrenome</t>
        </is>
      </c>
      <c r="R27" s="60" t="n"/>
      <c r="S27" s="60" t="n"/>
      <c r="T27" s="61" t="inlineStr">
        <is>
          <t>Apollo</t>
        </is>
      </c>
      <c r="U27" s="64" t="n">
        <v>46093</v>
      </c>
      <c r="V27" s="61" t="n"/>
      <c r="W27" s="65">
        <f>IF(R27&lt;&gt;"","In Global",IF(OR(K27="Meeting Scheduled",K27="Proposal Sent",K27="Client"),"Register",""))</f>
        <v/>
      </c>
      <c r="X27" s="61" t="n"/>
      <c r="Y27" s="63" t="n"/>
      <c r="Z27" s="63" t="inlineStr">
        <is>
          <t>Responsável pelo almoxarifado; controla estoque de peças de manutenção — porta de entrada para cotações de peças, materiais técnicos e MRO.</t>
        </is>
      </c>
      <c r="AA27" s="67" t="inlineStr">
        <is>
          <t>FORTLEV</t>
        </is>
      </c>
      <c r="AB27" s="67" t="inlineStr">
        <is>
          <t>FORTLEV</t>
        </is>
      </c>
      <c r="AC27" s="67" t="n"/>
      <c r="AD27" s="67" t="n"/>
      <c r="AE27" s="67" t="n"/>
      <c r="AF27" s="67" t="n"/>
      <c r="AG27" s="67" t="inlineStr"/>
      <c r="AH27" s="67" t="inlineStr"/>
    </row>
    <row r="28" ht="45" customHeight="1" s="83">
      <c r="A28" s="53" t="n">
        <v>25</v>
      </c>
      <c r="B28" s="54" t="inlineStr">
        <is>
          <t>FORTLEV</t>
        </is>
      </c>
      <c r="C28" s="54" t="inlineStr">
        <is>
          <t>Phillipp</t>
        </is>
      </c>
      <c r="D28" s="54" t="n"/>
      <c r="E28" s="54" t="inlineStr">
        <is>
          <t>Storekeeper</t>
        </is>
      </c>
      <c r="F28" s="54" t="inlineStr">
        <is>
          <t>Warehouse</t>
        </is>
      </c>
      <c r="G28" s="54" t="n"/>
      <c r="H28" s="54" t="n"/>
      <c r="I28" s="54" t="n"/>
      <c r="J28" s="54" t="inlineStr">
        <is>
          <t>Serra, ES</t>
        </is>
      </c>
      <c r="K28" s="62" t="inlineStr">
        <is>
          <t>New</t>
        </is>
      </c>
      <c r="L28" s="66" t="inlineStr">
        <is>
          <t>Low</t>
        </is>
      </c>
      <c r="M28" t="inlineStr"/>
      <c r="N28" t="inlineStr"/>
      <c r="O28" t="inlineStr"/>
      <c r="P28" t="inlineStr"/>
      <c r="Q28" s="57" t="inlineStr">
        <is>
          <t>Confirmar sobrenome</t>
        </is>
      </c>
      <c r="R28" s="53" t="n"/>
      <c r="S28" s="53" t="n"/>
      <c r="T28" s="54" t="inlineStr">
        <is>
          <t>Apollo</t>
        </is>
      </c>
      <c r="U28" s="58" t="n">
        <v>46093</v>
      </c>
      <c r="V28" s="54" t="n"/>
      <c r="W28" s="59">
        <f>IF(R28&lt;&gt;"","In Global",IF(OR(K28="Meeting Scheduled",K28="Proposal Sent",K28="Client"),"Register",""))</f>
        <v/>
      </c>
      <c r="X28" s="54" t="n"/>
      <c r="Y28" s="57" t="n"/>
      <c r="Z28" s="57" t="inlineStr">
        <is>
          <t>Storekeeper com acesso a inventário de suprimentos; indica demandas de reposição e pode referenciar fornecedores técnicos para compradores.</t>
        </is>
      </c>
      <c r="AA28" s="67" t="inlineStr">
        <is>
          <t>FORTLEV</t>
        </is>
      </c>
      <c r="AB28" s="67" t="inlineStr">
        <is>
          <t>FORTLEV</t>
        </is>
      </c>
      <c r="AC28" s="67" t="n"/>
      <c r="AD28" s="67" t="n"/>
      <c r="AE28" s="67" t="n"/>
      <c r="AF28" s="67" t="n"/>
      <c r="AG28" s="67" t="inlineStr"/>
      <c r="AH28" s="67" t="inlineStr"/>
    </row>
    <row r="29" ht="45" customHeight="1" s="83">
      <c r="A29" s="60" t="n">
        <v>26</v>
      </c>
      <c r="B29" s="61" t="inlineStr">
        <is>
          <t>FORTLEV</t>
        </is>
      </c>
      <c r="C29" s="61" t="inlineStr">
        <is>
          <t>Dioneson</t>
        </is>
      </c>
      <c r="D29" s="61" t="n"/>
      <c r="E29" s="61" t="inlineStr">
        <is>
          <t>Storekeeper</t>
        </is>
      </c>
      <c r="F29" s="61" t="inlineStr">
        <is>
          <t>Warehouse</t>
        </is>
      </c>
      <c r="G29" s="61" t="n"/>
      <c r="H29" s="61" t="n"/>
      <c r="I29" s="61" t="n"/>
      <c r="J29" s="61" t="inlineStr">
        <is>
          <t>Serra, ES</t>
        </is>
      </c>
      <c r="K29" s="62" t="inlineStr">
        <is>
          <t>New</t>
        </is>
      </c>
      <c r="L29" s="66" t="inlineStr">
        <is>
          <t>Low</t>
        </is>
      </c>
      <c r="M29" t="inlineStr"/>
      <c r="N29" t="inlineStr"/>
      <c r="O29" t="inlineStr"/>
      <c r="P29" t="inlineStr"/>
      <c r="Q29" s="63" t="inlineStr">
        <is>
          <t>Confirmar sobrenome</t>
        </is>
      </c>
      <c r="R29" s="60" t="n"/>
      <c r="S29" s="60" t="n"/>
      <c r="T29" s="61" t="inlineStr">
        <is>
          <t>Apollo</t>
        </is>
      </c>
      <c r="U29" s="64" t="n">
        <v>46093</v>
      </c>
      <c r="V29" s="61" t="n"/>
      <c r="W29" s="65">
        <f>IF(R29&lt;&gt;"","In Global",IF(OR(K29="Meeting Scheduled",K29="Proposal Sent",K29="Client"),"Register",""))</f>
        <v/>
      </c>
      <c r="X29" s="61" t="n"/>
      <c r="Y29" s="63" t="n"/>
      <c r="Z29" s="63" t="inlineStr">
        <is>
          <t>Terceiro almoxarife mapeado na Fortlev; reforça cobertura do fluxo de materiais e é apoio adicional para introduções junto à área de suprimentos.</t>
        </is>
      </c>
      <c r="AA29" s="67" t="inlineStr">
        <is>
          <t>FORTLEV</t>
        </is>
      </c>
      <c r="AB29" s="67" t="inlineStr">
        <is>
          <t>FORTLEV</t>
        </is>
      </c>
      <c r="AC29" s="67" t="n"/>
      <c r="AD29" s="67" t="n"/>
      <c r="AE29" s="67" t="n"/>
      <c r="AF29" s="67" t="n"/>
      <c r="AG29" s="67" t="inlineStr"/>
      <c r="AH29" s="67" t="inlineStr"/>
    </row>
    <row r="30" ht="19.5" customHeight="1" s="83">
      <c r="A30" s="53" t="n">
        <v>27</v>
      </c>
      <c r="B30" s="54" t="inlineStr">
        <is>
          <t>AUTVIX</t>
        </is>
      </c>
      <c r="C30" s="54" t="inlineStr">
        <is>
          <t>Marcos Alberto</t>
        </is>
      </c>
      <c r="D30" s="54" t="inlineStr">
        <is>
          <t>Monfardini Filho</t>
        </is>
      </c>
      <c r="E30" s="54" t="inlineStr">
        <is>
          <t>Owner / Founder</t>
        </is>
      </c>
      <c r="F30" s="54" t="inlineStr">
        <is>
          <t>Board</t>
        </is>
      </c>
      <c r="G30" s="54" t="inlineStr">
        <is>
          <t>marcos@autvix.com.br</t>
        </is>
      </c>
      <c r="H30" s="54" t="inlineStr">
        <is>
          <t>+55 27 3039-6559</t>
        </is>
      </c>
      <c r="I30" s="54" t="inlineStr">
        <is>
          <t>linkedin.com/in/marcos-alberto-monfardini-filho-26211028</t>
        </is>
      </c>
      <c r="J30" s="54" t="inlineStr">
        <is>
          <t>Vila Velha, ES</t>
        </is>
      </c>
      <c r="K30" s="62" t="inlineStr">
        <is>
          <t>New</t>
        </is>
      </c>
      <c r="L30" s="56" t="inlineStr">
        <is>
          <t>High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/>
      <c r="Q30" s="57" t="inlineStr">
        <is>
          <t>Abordagem via Gustavo Zatta (conexão em comum)</t>
        </is>
      </c>
      <c r="R30" s="53" t="n"/>
      <c r="S30" s="53" t="n"/>
      <c r="T30" s="54" t="inlineStr">
        <is>
          <t>Apollo+LinkedIn</t>
        </is>
      </c>
      <c r="U30" s="58" t="n">
        <v>46093</v>
      </c>
      <c r="V30" s="54" t="n"/>
      <c r="W30" s="59">
        <f>IF(R30&lt;&gt;"","In Global",IF(OR(K30="Meeting Scheduled",K30="Proposal Sent",K30="Client"),"Register",""))</f>
        <v/>
      </c>
      <c r="X30" s="54" t="inlineStr">
        <is>
          <t>Fundador 2008 — 17 anos, ~160 func, R$9M receita. Automação industrial, NR-10/12, SCADA. Gustavo Zatta é conexão direta → canal quente para 1ª reunião.</t>
        </is>
      </c>
      <c r="Y30" s="57" t="n"/>
      <c r="Z30" s="57" t="inlineStr">
        <is>
          <t>Fundador e decisor máximo da Autvix; parceria estratégica ou cliente para projetos de automação, NR-12 e robótica industrial — acesso direto ao topo.</t>
        </is>
      </c>
      <c r="AA30" s="67" t="inlineStr">
        <is>
          <t>AUTVIX ENGINEERING? Industrial Automation, Serra/ES | ~160 functions. | R$9M revenue | autvix.com.br | +55 27 3039-6559</t>
        </is>
      </c>
      <c r="AB30" s="67" t="inlineStr">
        <is>
          <t>AUTVIX ENGENHARIA</t>
        </is>
      </c>
      <c r="AC30" s="67" t="inlineStr">
        <is>
          <t>Industrial Automation</t>
        </is>
      </c>
      <c r="AD30" s="67" t="inlineStr">
        <is>
          <t>Serra/ES</t>
        </is>
      </c>
      <c r="AE30" s="67" t="inlineStr">
        <is>
          <t>~160 functions.</t>
        </is>
      </c>
      <c r="AF30" s="67" t="inlineStr">
        <is>
          <t>R$9M revenue</t>
        </is>
      </c>
      <c r="AG30" s="67" t="inlineStr">
        <is>
          <t>autvix.com.br</t>
        </is>
      </c>
      <c r="AH30" s="67" t="inlineStr">
        <is>
          <t>+55 27 3039-6559</t>
        </is>
      </c>
    </row>
    <row r="31" ht="45" customHeight="1" s="83">
      <c r="A31" s="60" t="n">
        <v>28</v>
      </c>
      <c r="B31" s="61" t="inlineStr">
        <is>
          <t>AUTVIX</t>
        </is>
      </c>
      <c r="C31" s="61" t="inlineStr">
        <is>
          <t>João Milton</t>
        </is>
      </c>
      <c r="D31" s="61" t="inlineStr">
        <is>
          <t>D. Neto</t>
        </is>
      </c>
      <c r="E31" s="61" t="inlineStr">
        <is>
          <t>Commercial Coordinator</t>
        </is>
      </c>
      <c r="F31" s="61" t="inlineStr">
        <is>
          <t>Commercial</t>
        </is>
      </c>
      <c r="G31" s="61" t="inlineStr">
        <is>
          <t>joao.neto@autvix.com.br</t>
        </is>
      </c>
      <c r="H31" s="61" t="n"/>
      <c r="I31" s="61" t="inlineStr">
        <is>
          <t>linkedin.com/in/joaomdneto-862785186</t>
        </is>
      </c>
      <c r="J31" s="61" t="inlineStr">
        <is>
          <t>Serra, ES</t>
        </is>
      </c>
      <c r="K31" s="62" t="inlineStr">
        <is>
          <t>New</t>
        </is>
      </c>
      <c r="L31" s="56" t="inlineStr">
        <is>
          <t>High</t>
        </is>
      </c>
      <c r="M31" t="inlineStr">
        <is>
          <t>Yes</t>
        </is>
      </c>
      <c r="N31" t="inlineStr"/>
      <c r="O31" t="inlineStr">
        <is>
          <t>Yes</t>
        </is>
      </c>
      <c r="P31" t="inlineStr"/>
      <c r="Q31" s="63" t="inlineStr">
        <is>
          <t>Direct contact via email; mention Gustavo Zatta</t>
        </is>
      </c>
      <c r="R31" s="60" t="n"/>
      <c r="S31" s="60" t="n"/>
      <c r="T31" s="61" t="inlineStr">
        <is>
          <t>Apollo+LinkedIn</t>
        </is>
      </c>
      <c r="U31" s="64" t="n">
        <v>46093</v>
      </c>
      <c r="V31" s="61" t="n"/>
      <c r="W31" s="65">
        <f>IF(R31&lt;&gt;"","In Global",IF(OR(K31="Meeting Scheduled",K31="Proposal Sent",K31="Client"),"Register",""))</f>
        <v/>
      </c>
      <c r="X31" s="61" t="inlineStr">
        <is>
          <t>Eng. Elétrico + MBA Gestão da Manutenção. Ponto de entrada comercial da Autvix. Gustavo tem conexão direta — usar como warm intro.</t>
        </is>
      </c>
      <c r="Y31" s="63" t="n"/>
      <c r="Z31" s="63" t="inlineStr">
        <is>
          <t>Conexão LinkedIn direta com Gustavo Zatta (Apeiron) — canal de warm intro imediato para toda a Autvix; ponto de partida do relacionamento comercial.</t>
        </is>
      </c>
      <c r="AA31" s="67" t="inlineStr">
        <is>
          <t>AUTVIX ENGINEERING? Industrial Automation, Serra/ES | ~160 functions. | R$9M revenue | autvix.com.br | +55 27 3039-6559</t>
        </is>
      </c>
      <c r="AB31" s="67" t="inlineStr">
        <is>
          <t>AUTVIX ENGENHARIA</t>
        </is>
      </c>
      <c r="AC31" s="67" t="inlineStr">
        <is>
          <t>Industrial Automation</t>
        </is>
      </c>
      <c r="AD31" s="67" t="inlineStr">
        <is>
          <t>Serra/ES</t>
        </is>
      </c>
      <c r="AE31" s="67" t="inlineStr">
        <is>
          <t>~160 functions.</t>
        </is>
      </c>
      <c r="AF31" s="67" t="inlineStr">
        <is>
          <t>R$9M revenue</t>
        </is>
      </c>
      <c r="AG31" s="67" t="inlineStr">
        <is>
          <t>autvix.com.br</t>
        </is>
      </c>
      <c r="AH31" s="67" t="inlineStr">
        <is>
          <t>+55 27 3039-6559</t>
        </is>
      </c>
    </row>
    <row r="32" ht="45" customHeight="1" s="83">
      <c r="A32" s="53" t="n">
        <v>29</v>
      </c>
      <c r="B32" s="54" t="inlineStr">
        <is>
          <t>AUTVIX</t>
        </is>
      </c>
      <c r="C32" s="54" t="inlineStr">
        <is>
          <t>Talyson R.</t>
        </is>
      </c>
      <c r="D32" s="54" t="inlineStr">
        <is>
          <t>Libardi</t>
        </is>
      </c>
      <c r="E32" s="54" t="inlineStr">
        <is>
          <t>Electrical Engineer — Specialist NR-12</t>
        </is>
      </c>
      <c r="F32" s="54" t="inlineStr">
        <is>
          <t>Security/Projects</t>
        </is>
      </c>
      <c r="G32" s="54" t="n"/>
      <c r="H32" s="54" t="n"/>
      <c r="I32" s="54" t="n"/>
      <c r="J32" s="54" t="inlineStr">
        <is>
          <t>Serra, ES</t>
        </is>
      </c>
      <c r="K32" s="62" t="inlineStr">
        <is>
          <t>New</t>
        </is>
      </c>
      <c r="L32" s="56" t="inlineStr">
        <is>
          <t>High</t>
        </is>
      </c>
      <c r="M32" t="inlineStr"/>
      <c r="N32" t="inlineStr"/>
      <c r="O32" t="inlineStr"/>
      <c r="P32" t="inlineStr"/>
      <c r="Q32" s="57" t="inlineStr">
        <is>
          <t>1st contact via LinkedIn — technical approach NR-12/Functional Safety</t>
        </is>
      </c>
      <c r="R32" s="53" t="n"/>
      <c r="S32" s="53" t="n"/>
      <c r="T32" s="54" t="inlineStr">
        <is>
          <t>LinkedIn</t>
        </is>
      </c>
      <c r="U32" s="58" t="n">
        <v>46093</v>
      </c>
      <c r="V32" s="54" t="n"/>
      <c r="W32" s="59">
        <f>IF(R32&lt;&gt;"","In Global",IF(OR(K32="Meeting Scheduled",K32="Proposal Sent",K32="Client"),"Register",""))</f>
        <v/>
      </c>
      <c r="X32" s="54" t="inlineStr">
        <is>
          <t>CMSE® — manutenção + segurança de máquinas. Perfil técnico ideal para Functional Safety e Man Power Support em projetos NR-12.</t>
        </is>
      </c>
      <c r="Y32" s="57" t="n"/>
      <c r="Z32" s="57" t="inlineStr">
        <is>
          <t>Especialista NR-12 e segurança industrial — área de sobreposição técnica com Apeiron; potencial de co-execução de projetos ou subcontratação mútua.</t>
        </is>
      </c>
      <c r="AA32" s="67" t="inlineStr">
        <is>
          <t>AUTVIX ENGINEERING? Industrial Automation, Serra/ES | ~160 functions. | R$9M revenue | autvix.com.br | +55 27 3039-6559</t>
        </is>
      </c>
      <c r="AB32" s="67" t="inlineStr">
        <is>
          <t>AUTVIX ENGENHARIA</t>
        </is>
      </c>
      <c r="AC32" s="67" t="inlineStr">
        <is>
          <t>Industrial Automation</t>
        </is>
      </c>
      <c r="AD32" s="67" t="inlineStr">
        <is>
          <t>Serra/ES</t>
        </is>
      </c>
      <c r="AE32" s="67" t="inlineStr">
        <is>
          <t>~160 functions.</t>
        </is>
      </c>
      <c r="AF32" s="67" t="inlineStr">
        <is>
          <t>R$9M revenue</t>
        </is>
      </c>
      <c r="AG32" s="67" t="inlineStr">
        <is>
          <t>autvix.com.br</t>
        </is>
      </c>
      <c r="AH32" s="67" t="inlineStr">
        <is>
          <t>+55 27 3039-6559</t>
        </is>
      </c>
    </row>
    <row r="33" ht="45" customHeight="1" s="83">
      <c r="A33" s="60" t="n">
        <v>30</v>
      </c>
      <c r="B33" s="61" t="inlineStr">
        <is>
          <t>AUTVIX</t>
        </is>
      </c>
      <c r="C33" s="61" t="inlineStr">
        <is>
          <t>Rafael</t>
        </is>
      </c>
      <c r="D33" s="61" t="inlineStr">
        <is>
          <t>Silveira</t>
        </is>
      </c>
      <c r="E33" s="61" t="inlineStr">
        <is>
          <t>Project Coordinator</t>
        </is>
      </c>
      <c r="F33" s="61" t="inlineStr">
        <is>
          <t>Projects/Security</t>
        </is>
      </c>
      <c r="G33" s="61" t="n"/>
      <c r="H33" s="61" t="n"/>
      <c r="I33" s="61" t="n"/>
      <c r="J33" s="61" t="inlineStr">
        <is>
          <t>Vitória, ES</t>
        </is>
      </c>
      <c r="K33" s="62" t="inlineStr">
        <is>
          <t>New</t>
        </is>
      </c>
      <c r="L33" s="56" t="inlineStr">
        <is>
          <t>High</t>
        </is>
      </c>
      <c r="M33" t="inlineStr"/>
      <c r="N33" t="inlineStr"/>
      <c r="O33" t="inlineStr"/>
      <c r="P33" t="inlineStr"/>
      <c r="Q33" s="63" t="inlineStr">
        <is>
          <t>1st contact via LinkedIn — Functional Safety approach and project management</t>
        </is>
      </c>
      <c r="R33" s="60" t="n"/>
      <c r="S33" s="60" t="n"/>
      <c r="T33" s="61" t="inlineStr">
        <is>
          <t>LinkedIn</t>
        </is>
      </c>
      <c r="U33" s="64" t="n">
        <v>46093</v>
      </c>
      <c r="V33" s="61" t="n"/>
      <c r="W33" s="65">
        <f>IF(R33&lt;&gt;"","In Global",IF(OR(K33="Meeting Scheduled",K33="Proposal Sent",K33="Client"),"Register",""))</f>
        <v/>
      </c>
      <c r="X33" s="61" t="inlineStr">
        <is>
          <t>Especialista Segurança de Máquinas, NR-12, Gestão de Riscos, Coordenação de Projetos. 18 conexões em comum. Aderência alta para Functional Safety e Projects.</t>
        </is>
      </c>
      <c r="Y33" s="63" t="n"/>
      <c r="Z33" s="63" t="inlineStr">
        <is>
          <t>Coordenador de projetos que gerencia execução e fornecedores; influenciador de subcontratações, compras de equipamentos e parcerias técnicas.</t>
        </is>
      </c>
      <c r="AA33" s="67" t="inlineStr">
        <is>
          <t>AUTVIX ENGINEERING? Industrial Automation, Serra/ES | ~160 functions. | R$9M revenue | autvix.com.br | +55 27 3039-6559</t>
        </is>
      </c>
      <c r="AB33" s="67" t="inlineStr">
        <is>
          <t>AUTVIX ENGENHARIA</t>
        </is>
      </c>
      <c r="AC33" s="67" t="inlineStr">
        <is>
          <t>Industrial Automation</t>
        </is>
      </c>
      <c r="AD33" s="67" t="inlineStr">
        <is>
          <t>Serra/ES</t>
        </is>
      </c>
      <c r="AE33" s="67" t="inlineStr">
        <is>
          <t>~160 functions.</t>
        </is>
      </c>
      <c r="AF33" s="67" t="inlineStr">
        <is>
          <t>R$9M revenue</t>
        </is>
      </c>
      <c r="AG33" s="67" t="inlineStr">
        <is>
          <t>autvix.com.br</t>
        </is>
      </c>
      <c r="AH33" s="67" t="inlineStr">
        <is>
          <t>+55 27 3039-6559</t>
        </is>
      </c>
    </row>
    <row r="34" ht="45" customHeight="1" s="83">
      <c r="A34" s="53" t="n">
        <v>31</v>
      </c>
      <c r="B34" s="54" t="inlineStr">
        <is>
          <t>AUTVIX</t>
        </is>
      </c>
      <c r="C34" s="54" t="inlineStr">
        <is>
          <t>Marcus Stefano</t>
        </is>
      </c>
      <c r="D34" s="54" t="inlineStr">
        <is>
          <t>Bontia</t>
        </is>
      </c>
      <c r="E34" s="54" t="inlineStr">
        <is>
          <t>Project Coordinator</t>
        </is>
      </c>
      <c r="F34" s="54" t="inlineStr">
        <is>
          <t>Projects</t>
        </is>
      </c>
      <c r="G34" s="54" t="n"/>
      <c r="H34" s="54" t="n"/>
      <c r="I34" s="54" t="n"/>
      <c r="J34" s="54" t="inlineStr">
        <is>
          <t>Vila Velha, ES</t>
        </is>
      </c>
      <c r="K34" s="62" t="inlineStr">
        <is>
          <t>New</t>
        </is>
      </c>
      <c r="L34" s="59" t="inlineStr">
        <is>
          <t>Medium</t>
        </is>
      </c>
      <c r="M34" t="inlineStr"/>
      <c r="N34" t="inlineStr"/>
      <c r="O34" t="inlineStr"/>
      <c r="P34" t="inlineStr"/>
      <c r="Q34" s="57" t="inlineStr">
        <is>
          <t>1st contact via LinkedIn after decision makers</t>
        </is>
      </c>
      <c r="R34" s="53" t="n"/>
      <c r="S34" s="53" t="n"/>
      <c r="T34" s="54" t="inlineStr">
        <is>
          <t>LinkedIn</t>
        </is>
      </c>
      <c r="U34" s="58" t="n">
        <v>46093</v>
      </c>
      <c r="V34" s="54" t="n"/>
      <c r="W34" s="59">
        <f>IF(R34&lt;&gt;"","In Global",IF(OR(K34="Meeting Scheduled",K34="Proposal Sent",K34="Client"),"Register",""))</f>
        <v/>
      </c>
      <c r="X34" s="54" t="inlineStr">
        <is>
          <t>1k seguidores. Coordenação de projetos industriais na Autvix. Abordar para Man Power Support e Projects.</t>
        </is>
      </c>
      <c r="Y34" s="57" t="n"/>
      <c r="Z34" s="57" t="inlineStr">
        <is>
          <t>Segundo coordenador de projetos; abordagem paralela amplia penetração na empresa e identificação de demandas técnicas segmentadas por frente.</t>
        </is>
      </c>
      <c r="AA34" s="67" t="inlineStr">
        <is>
          <t>AUTVIX ENGINEERING? Industrial Automation, Serra/ES | ~160 functions. | R$9M revenue | autvix.com.br | +55 27 3039-6559</t>
        </is>
      </c>
      <c r="AB34" s="67" t="inlineStr">
        <is>
          <t>AUTVIX ENGENHARIA</t>
        </is>
      </c>
      <c r="AC34" s="67" t="inlineStr">
        <is>
          <t>Industrial Automation</t>
        </is>
      </c>
      <c r="AD34" s="67" t="inlineStr">
        <is>
          <t>Serra/ES</t>
        </is>
      </c>
      <c r="AE34" s="67" t="inlineStr">
        <is>
          <t>~160 functions.</t>
        </is>
      </c>
      <c r="AF34" s="67" t="inlineStr">
        <is>
          <t>R$9M revenue</t>
        </is>
      </c>
      <c r="AG34" s="67" t="inlineStr">
        <is>
          <t>autvix.com.br</t>
        </is>
      </c>
      <c r="AH34" s="67" t="inlineStr">
        <is>
          <t>+55 27 3039-6559</t>
        </is>
      </c>
    </row>
    <row r="35" ht="45" customHeight="1" s="83">
      <c r="A35" s="60" t="n">
        <v>32</v>
      </c>
      <c r="B35" s="61" t="inlineStr">
        <is>
          <t>AUTVIX</t>
        </is>
      </c>
      <c r="C35" s="61" t="inlineStr">
        <is>
          <t>Thales</t>
        </is>
      </c>
      <c r="D35" s="61" t="inlineStr">
        <is>
          <t>Sperandio</t>
        </is>
      </c>
      <c r="E35" s="61" t="inlineStr">
        <is>
          <t>Supply and Controlling Coordinator</t>
        </is>
      </c>
      <c r="F35" s="61" t="inlineStr">
        <is>
          <t>Supplies</t>
        </is>
      </c>
      <c r="G35" s="61" t="n"/>
      <c r="H35" s="61" t="n"/>
      <c r="I35" s="61" t="n"/>
      <c r="J35" s="61" t="inlineStr">
        <is>
          <t>Serra, ES</t>
        </is>
      </c>
      <c r="K35" s="62" t="inlineStr">
        <is>
          <t>New</t>
        </is>
      </c>
      <c r="L35" s="65" t="inlineStr">
        <is>
          <t>Medium</t>
        </is>
      </c>
      <c r="M35" t="inlineStr"/>
      <c r="N35" t="inlineStr"/>
      <c r="O35" t="inlineStr"/>
      <c r="P35" t="inlineStr"/>
      <c r="Q35" s="63" t="inlineStr">
        <is>
          <t>Abordar via LinkedIn — angle suprimentos/compras</t>
        </is>
      </c>
      <c r="R35" s="60" t="n"/>
      <c r="S35" s="60" t="n"/>
      <c r="T35" s="61" t="inlineStr">
        <is>
          <t>LinkedIn</t>
        </is>
      </c>
      <c r="U35" s="64" t="n">
        <v>46093</v>
      </c>
      <c r="V35" s="61" t="n"/>
      <c r="W35" s="65">
        <f>IF(R35&lt;&gt;"","In Global",IF(OR(K35="Meeting Scheduled",K35="Proposal Sent",K35="Client"),"Register",""))</f>
        <v/>
      </c>
      <c r="X35" s="61" t="inlineStr">
        <is>
          <t>Suprimentos e controladoria. Angle de compras de serviços de engenharia.</t>
        </is>
      </c>
      <c r="Y35" s="63" t="n"/>
      <c r="Z35" s="63" t="inlineStr">
        <is>
          <t>Gestor de suprimentos e controladoria da Autvix — decisor de compras de equipamentos e serviços técnicos; influencia toda a cadeia de fornecimento.</t>
        </is>
      </c>
      <c r="AA35" s="67" t="inlineStr">
        <is>
          <t>AUTVIX ENGINEERING? Industrial Automation, Serra/ES | ~160 functions. | R$9M revenue | autvix.com.br | +55 27 3039-6559</t>
        </is>
      </c>
      <c r="AB35" s="67" t="inlineStr">
        <is>
          <t>AUTVIX ENGENHARIA</t>
        </is>
      </c>
      <c r="AC35" s="67" t="inlineStr">
        <is>
          <t>Industrial Automation</t>
        </is>
      </c>
      <c r="AD35" s="67" t="inlineStr">
        <is>
          <t>Serra/ES</t>
        </is>
      </c>
      <c r="AE35" s="67" t="inlineStr">
        <is>
          <t>~160 functions.</t>
        </is>
      </c>
      <c r="AF35" s="67" t="inlineStr">
        <is>
          <t>R$9M revenue</t>
        </is>
      </c>
      <c r="AG35" s="67" t="inlineStr">
        <is>
          <t>autvix.com.br</t>
        </is>
      </c>
      <c r="AH35" s="67" t="inlineStr">
        <is>
          <t>+55 27 3039-6559</t>
        </is>
      </c>
    </row>
    <row r="36" ht="45" customHeight="1" s="83">
      <c r="A36" s="53" t="n">
        <v>33</v>
      </c>
      <c r="B36" s="54" t="inlineStr">
        <is>
          <t>AUTVIX</t>
        </is>
      </c>
      <c r="C36" s="54" t="inlineStr">
        <is>
          <t>Thaiany</t>
        </is>
      </c>
      <c r="D36" s="54" t="inlineStr">
        <is>
          <t>Antunes</t>
        </is>
      </c>
      <c r="E36" s="54" t="inlineStr">
        <is>
          <t>Full Planning Analyst III</t>
        </is>
      </c>
      <c r="F36" s="54" t="inlineStr">
        <is>
          <t>Planning</t>
        </is>
      </c>
      <c r="G36" s="54" t="n"/>
      <c r="H36" s="54" t="n"/>
      <c r="I36" s="54" t="n"/>
      <c r="J36" s="54" t="inlineStr">
        <is>
          <t>Serra, ES</t>
        </is>
      </c>
      <c r="K36" s="62" t="inlineStr">
        <is>
          <t>New</t>
        </is>
      </c>
      <c r="L36" s="59" t="inlineStr">
        <is>
          <t>Medium</t>
        </is>
      </c>
      <c r="M36" t="inlineStr"/>
      <c r="N36" t="inlineStr"/>
      <c r="O36" t="inlineStr"/>
      <c r="P36" t="inlineStr"/>
      <c r="Q36" s="57" t="inlineStr">
        <is>
          <t>Approach after contact with decision makers</t>
        </is>
      </c>
      <c r="R36" s="53" t="n"/>
      <c r="S36" s="53" t="n"/>
      <c r="T36" s="54" t="inlineStr">
        <is>
          <t>LinkedIn</t>
        </is>
      </c>
      <c r="U36" s="58" t="n">
        <v>46093</v>
      </c>
      <c r="V36" s="54" t="n"/>
      <c r="W36" s="59">
        <f>IF(R36&lt;&gt;"","In Global",IF(OR(K36="Meeting Scheduled",K36="Proposal Sent",K36="Client"),"Register",""))</f>
        <v/>
      </c>
      <c r="X36" s="54" t="inlineStr">
        <is>
          <t>Planejamento, Gestão, Projetos, Contratos, Qualidade, Auditoria. Conexão com Gustavo Rodrigues (em comum).</t>
        </is>
      </c>
      <c r="Y36" s="57" t="n"/>
      <c r="Z36" s="57" t="inlineStr">
        <is>
          <t>Senior planning analyst; operational contact for entry into the flow of proposals, quotations and supplier registration processes.</t>
        </is>
      </c>
      <c r="AA36" s="67" t="inlineStr">
        <is>
          <t>AUTVIX ENGINEERING? Industrial Automation, Serra/ES | ~160 functions. | R$9M revenue | autvix.com.br | +55 27 3039-6559</t>
        </is>
      </c>
      <c r="AB36" s="67" t="inlineStr">
        <is>
          <t>AUTVIX ENGENHARIA</t>
        </is>
      </c>
      <c r="AC36" s="67" t="inlineStr">
        <is>
          <t>Industrial Automation</t>
        </is>
      </c>
      <c r="AD36" s="67" t="inlineStr">
        <is>
          <t>Serra/ES</t>
        </is>
      </c>
      <c r="AE36" s="67" t="inlineStr">
        <is>
          <t>~160 functions.</t>
        </is>
      </c>
      <c r="AF36" s="67" t="inlineStr">
        <is>
          <t>R$9M revenue</t>
        </is>
      </c>
      <c r="AG36" s="67" t="inlineStr">
        <is>
          <t>autvix.com.br</t>
        </is>
      </c>
      <c r="AH36" s="67" t="inlineStr">
        <is>
          <t>+55 27 3039-6559</t>
        </is>
      </c>
    </row>
    <row r="37" ht="45" customHeight="1" s="83">
      <c r="A37" s="60" t="n">
        <v>34</v>
      </c>
      <c r="B37" s="61" t="inlineStr">
        <is>
          <t>AUTVIX</t>
        </is>
      </c>
      <c r="C37" s="61" t="inlineStr">
        <is>
          <t>Krystyan Lourenço</t>
        </is>
      </c>
      <c r="D37" s="61" t="inlineStr">
        <is>
          <t>da Silva</t>
        </is>
      </c>
      <c r="E37" s="61" t="inlineStr">
        <is>
          <t>Industrial Automation Assistant</t>
        </is>
      </c>
      <c r="F37" s="61" t="inlineStr">
        <is>
          <t>Automation</t>
        </is>
      </c>
      <c r="G37" s="61" t="n"/>
      <c r="H37" s="61" t="n"/>
      <c r="I37" s="61" t="n"/>
      <c r="J37" s="61" t="inlineStr">
        <is>
          <t>Serra, ES</t>
        </is>
      </c>
      <c r="K37" s="62" t="inlineStr">
        <is>
          <t>New</t>
        </is>
      </c>
      <c r="L37" s="66" t="inlineStr">
        <is>
          <t>Low</t>
        </is>
      </c>
      <c r="M37" t="inlineStr"/>
      <c r="N37" t="inlineStr"/>
      <c r="O37" t="inlineStr"/>
      <c r="P37" t="inlineStr"/>
      <c r="Q37" s="63" t="inlineStr">
        <is>
          <t>Abordar para Man Power Support — perfil técnico</t>
        </is>
      </c>
      <c r="R37" s="60" t="n"/>
      <c r="S37" s="60" t="n"/>
      <c r="T37" s="61" t="inlineStr">
        <is>
          <t>LinkedIn</t>
        </is>
      </c>
      <c r="U37" s="64" t="n">
        <v>46093</v>
      </c>
      <c r="V37" s="61" t="n"/>
      <c r="W37" s="65">
        <f>IF(R37&lt;&gt;"","In Global",IF(OR(K37="Meeting Scheduled",K37="Proposal Sent",K37="Client"),"Register",""))</f>
        <v/>
      </c>
      <c r="X37" s="61" t="inlineStr">
        <is>
          <t>Técnico em automação industrial. Perfil operacional — aderência para Man Power Support.</t>
        </is>
      </c>
      <c r="Y37" s="63" t="n"/>
      <c r="Z37" s="63" t="inlineStr">
        <is>
          <t>Assistente de automação industrial; perfil técnico operacional útil para avaliação de escopo de projetos e como Man Power Support.</t>
        </is>
      </c>
      <c r="AA37" s="67" t="inlineStr">
        <is>
          <t>AUTVIX ENGINEERING? Industrial Automation, Serra/ES | ~160 functions. | R$9M revenue | autvix.com.br | +55 27 3039-6559</t>
        </is>
      </c>
      <c r="AB37" s="67" t="inlineStr">
        <is>
          <t>AUTVIX ENGENHARIA</t>
        </is>
      </c>
      <c r="AC37" s="67" t="inlineStr">
        <is>
          <t>Industrial Automation</t>
        </is>
      </c>
      <c r="AD37" s="67" t="inlineStr">
        <is>
          <t>Serra/ES</t>
        </is>
      </c>
      <c r="AE37" s="67" t="inlineStr">
        <is>
          <t>~160 functions.</t>
        </is>
      </c>
      <c r="AF37" s="67" t="inlineStr">
        <is>
          <t>R$9M revenue</t>
        </is>
      </c>
      <c r="AG37" s="67" t="inlineStr">
        <is>
          <t>autvix.com.br</t>
        </is>
      </c>
      <c r="AH37" s="67" t="inlineStr">
        <is>
          <t>+55 27 3039-6559</t>
        </is>
      </c>
    </row>
    <row r="38" ht="45" customHeight="1" s="83">
      <c r="A38" s="53" t="n">
        <v>35</v>
      </c>
      <c r="B38" s="54" t="inlineStr">
        <is>
          <t>AUTVIX</t>
        </is>
      </c>
      <c r="C38" s="54" t="inlineStr">
        <is>
          <t>Raiane Alves</t>
        </is>
      </c>
      <c r="D38" s="54" t="inlineStr">
        <is>
          <t>Milanez</t>
        </is>
      </c>
      <c r="E38" s="54" t="inlineStr">
        <is>
          <t>Administrative Analyst</t>
        </is>
      </c>
      <c r="F38" s="54" t="inlineStr">
        <is>
          <t>Administrative</t>
        </is>
      </c>
      <c r="G38" s="54" t="n"/>
      <c r="H38" s="54" t="n"/>
      <c r="I38" s="54" t="n"/>
      <c r="J38" s="54" t="inlineStr">
        <is>
          <t>Serra, ES</t>
        </is>
      </c>
      <c r="K38" s="62" t="inlineStr">
        <is>
          <t>New</t>
        </is>
      </c>
      <c r="L38" s="66" t="inlineStr">
        <is>
          <t>Low</t>
        </is>
      </c>
      <c r="M38" t="inlineStr"/>
      <c r="N38" t="inlineStr"/>
      <c r="O38" t="inlineStr"/>
      <c r="P38" t="inlineStr"/>
      <c r="Q38" s="57" t="inlineStr">
        <is>
          <t>Low priority — contact only after established relationship</t>
        </is>
      </c>
      <c r="R38" s="53" t="n"/>
      <c r="S38" s="53" t="n"/>
      <c r="T38" s="54" t="inlineStr">
        <is>
          <t>LinkedIn</t>
        </is>
      </c>
      <c r="U38" s="58" t="n">
        <v>46093</v>
      </c>
      <c r="V38" s="54" t="n"/>
      <c r="W38" s="59">
        <f>IF(R38&lt;&gt;"","In Global",IF(OR(K38="Meeting Scheduled",K38="Proposal Sent",K38="Client"),"Register",""))</f>
        <v/>
      </c>
      <c r="X38" s="54" t="inlineStr">
        <is>
          <t>Analista administrativo e prestação de contas. Menor aderência com ICP Apeiron.</t>
        </is>
      </c>
      <c r="Y38" s="57" t="n"/>
      <c r="Z38" s="57" t="inlineStr">
        <is>
          <t>Administrative contact for formalizing registrations, sending proposals and monitoring processes with the commercial/financial team.</t>
        </is>
      </c>
      <c r="AA38" s="67" t="inlineStr">
        <is>
          <t>AUTVIX ENGINEERING? Industrial Automation, Serra/ES | ~160 functions. | R$9M revenue | autvix.com.br | +55 27 3039-6559</t>
        </is>
      </c>
      <c r="AB38" s="67" t="inlineStr">
        <is>
          <t>AUTVIX ENGENHARIA</t>
        </is>
      </c>
      <c r="AC38" s="67" t="inlineStr">
        <is>
          <t>Industrial Automation</t>
        </is>
      </c>
      <c r="AD38" s="67" t="inlineStr">
        <is>
          <t>Serra/ES</t>
        </is>
      </c>
      <c r="AE38" s="67" t="inlineStr">
        <is>
          <t>~160 functions.</t>
        </is>
      </c>
      <c r="AF38" s="67" t="inlineStr">
        <is>
          <t>R$9M revenue</t>
        </is>
      </c>
      <c r="AG38" s="67" t="inlineStr">
        <is>
          <t>autvix.com.br</t>
        </is>
      </c>
      <c r="AH38" s="67" t="inlineStr">
        <is>
          <t>+55 27 3039-6559</t>
        </is>
      </c>
    </row>
    <row r="39" ht="45" customHeight="1" s="83">
      <c r="A39" s="60" t="n">
        <v>36</v>
      </c>
      <c r="B39" s="61" t="inlineStr">
        <is>
          <t>SAMARCO</t>
        </is>
      </c>
      <c r="C39" s="61" t="inlineStr">
        <is>
          <t>Hilcker</t>
        </is>
      </c>
      <c r="D39" s="61" t="inlineStr">
        <is>
          <t>Scopel</t>
        </is>
      </c>
      <c r="E39" s="61" t="inlineStr">
        <is>
          <t>Maintenance Coordinator</t>
        </is>
      </c>
      <c r="F39" s="61" t="inlineStr">
        <is>
          <t>Maintenance</t>
        </is>
      </c>
      <c r="G39" s="61" t="inlineStr">
        <is>
          <t>hilckersco@samarco.com</t>
        </is>
      </c>
      <c r="H39" s="61" t="inlineStr">
        <is>
          <t>+55 800 033 8485</t>
        </is>
      </c>
      <c r="I39" s="61" t="inlineStr">
        <is>
          <t>linkedin.com/in/hilcker-scopel-62397052</t>
        </is>
      </c>
      <c r="J39" s="61" t="inlineStr">
        <is>
          <t>Guarapari, ES</t>
        </is>
      </c>
      <c r="K39" s="62" t="inlineStr">
        <is>
          <t>New</t>
        </is>
      </c>
      <c r="L39" s="56" t="inlineStr">
        <is>
          <t>High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/>
      <c r="Q39" s="63" t="inlineStr">
        <is>
          <t>Abordagem via LinkedIn — angle confiabilidade/manutenção e Man Power Support</t>
        </is>
      </c>
      <c r="R39" s="60" t="n"/>
      <c r="S39" s="60" t="n"/>
      <c r="T39" s="61" t="inlineStr">
        <is>
          <t>Apollo+LinkedIn</t>
        </is>
      </c>
      <c r="U39" s="64" t="n">
        <v>46093</v>
      </c>
      <c r="V39" s="61" t="n"/>
      <c r="W39" s="65">
        <f>IF(R39&lt;&gt;"","In Global",IF(OR(K39="Meeting Scheduled",K39="Proposal Sent",K39="Client"),"Register",""))</f>
        <v/>
      </c>
      <c r="X39" s="61" t="inlineStr">
        <is>
          <t>Coord. Manutenção (2025). Antes: Eng. Confiabilidade por 6 anos. Samarco hub Ubu/Anchieta — grande demandante de serviços industriais. Aderência alta.</t>
        </is>
      </c>
      <c r="Y39" s="63" t="n"/>
      <c r="Z39" s="63" t="inlineStr">
        <is>
          <t>Coord. de Manutenção na hub Ubu/Anchieta (Samarco/ES, R$1.3B) — decisor de serviços técnicos de manutenção e MRO em planta de 3.600 func. ICP direto.</t>
        </is>
      </c>
      <c r="AA39" s="67" t="inlineStr">
        <is>
          <t>SAMARCO MINERAÇÃO? Mining/Pelletization, Guarapari/Anchieta, ES | ~3,600 functions. | R$1.3B revenue | samarco.com | +55 800 033 8485</t>
        </is>
      </c>
      <c r="AB39" s="67" t="inlineStr">
        <is>
          <t>SAMARCO MINERAÇÃO</t>
        </is>
      </c>
      <c r="AC39" s="67" t="inlineStr">
        <is>
          <t>Mining/Pelletization, Guarapari/Anchieta</t>
        </is>
      </c>
      <c r="AD39" s="67" t="inlineStr">
        <is>
          <t>ES</t>
        </is>
      </c>
      <c r="AE39" s="67" t="inlineStr">
        <is>
          <t>~3,600 functions.</t>
        </is>
      </c>
      <c r="AF39" s="67" t="inlineStr">
        <is>
          <t>R$1.3B revenue</t>
        </is>
      </c>
      <c r="AG39" s="67" t="inlineStr">
        <is>
          <t>samarco.com</t>
        </is>
      </c>
      <c r="AH39" s="67" t="inlineStr">
        <is>
          <t>+55 800 033 8485</t>
        </is>
      </c>
    </row>
    <row r="40" ht="19.95" customHeight="1" s="83">
      <c r="A40" s="53" t="n">
        <v>37</v>
      </c>
      <c r="B40" s="54" t="inlineStr">
        <is>
          <t>SAMARCO</t>
        </is>
      </c>
      <c r="C40" s="54" t="inlineStr">
        <is>
          <t>Pedro</t>
        </is>
      </c>
      <c r="D40" s="54" t="inlineStr">
        <is>
          <t>Vieira</t>
        </is>
      </c>
      <c r="E40" s="54" t="inlineStr">
        <is>
          <t>Maintenance Coordinator</t>
        </is>
      </c>
      <c r="F40" s="54" t="inlineStr">
        <is>
          <t>Maintenance</t>
        </is>
      </c>
      <c r="G40" s="54" t="inlineStr">
        <is>
          <t>pedro.vieira@samarco.com</t>
        </is>
      </c>
      <c r="H40" s="54" t="inlineStr">
        <is>
          <t>+55 800 033 8485</t>
        </is>
      </c>
      <c r="I40" s="54" t="inlineStr">
        <is>
          <t>linkedin.com/in/pedro-paulo-moura-vieira</t>
        </is>
      </c>
      <c r="J40" s="54" t="inlineStr">
        <is>
          <t>Guarapari, ES</t>
        </is>
      </c>
      <c r="K40" s="62" t="inlineStr">
        <is>
          <t>New</t>
        </is>
      </c>
      <c r="L40" s="56" t="inlineStr">
        <is>
          <t>High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/>
      <c r="Q40" s="57" t="inlineStr">
        <is>
          <t>Abordagem via LinkedIn — angle manutenção preditiva/preventiva e projetos</t>
        </is>
      </c>
      <c r="R40" s="53" t="n"/>
      <c r="S40" s="53" t="n"/>
      <c r="T40" s="54" t="inlineStr">
        <is>
          <t>Apollo+LinkedIn</t>
        </is>
      </c>
      <c r="U40" s="58" t="n">
        <v>46093</v>
      </c>
      <c r="V40" s="54" t="n"/>
      <c r="W40" s="59">
        <f>IF(R40&lt;&gt;"","In Global",IF(OR(K40="Meeting Scheduled",K40="Proposal Sent",K40="Client"),"Register",""))</f>
        <v/>
      </c>
      <c r="X40" s="54" t="inlineStr">
        <is>
          <t>Coord. Manutenção desde 2021. Background em processo de pelotização. Decisor operacional com histórico de 10+ anos na Samarco.</t>
        </is>
      </c>
      <c r="Y40" s="57" t="n"/>
      <c r="Z40" s="57" t="inlineStr">
        <is>
          <t>Segundo Coord. de Manutenção na Samarco; abordagem paralela com Hilcker multiplica chances de entrada em contratos de manutenção industrial.</t>
        </is>
      </c>
      <c r="AA40" s="67" t="inlineStr">
        <is>
          <t>SAMARCO MINERAÇÃO? Mining/Pelletization, Guarapari/Anchieta, ES | ~3,600 functions. | R$1.3B revenue | samarco.com | +55 800 033 8485</t>
        </is>
      </c>
      <c r="AB40" s="67" t="inlineStr">
        <is>
          <t>SAMARCO MINERAÇÃO</t>
        </is>
      </c>
      <c r="AC40" s="67" t="inlineStr">
        <is>
          <t>Mining/Pelletization, Guarapari/Anchieta</t>
        </is>
      </c>
      <c r="AD40" s="67" t="inlineStr">
        <is>
          <t>ES</t>
        </is>
      </c>
      <c r="AE40" s="67" t="inlineStr">
        <is>
          <t>~3,600 functions.</t>
        </is>
      </c>
      <c r="AF40" s="67" t="inlineStr">
        <is>
          <t>R$1.3B revenue</t>
        </is>
      </c>
      <c r="AG40" s="67" t="inlineStr">
        <is>
          <t>samarco.com</t>
        </is>
      </c>
      <c r="AH40" s="67" t="inlineStr">
        <is>
          <t>+55 800 033 8485</t>
        </is>
      </c>
    </row>
    <row r="41" ht="45" customHeight="1" s="83">
      <c r="A41" s="60" t="n">
        <v>38</v>
      </c>
      <c r="B41" s="61" t="inlineStr">
        <is>
          <t>SAMARCO</t>
        </is>
      </c>
      <c r="C41" s="61" t="inlineStr">
        <is>
          <t>Alexandre</t>
        </is>
      </c>
      <c r="D41" s="61" t="inlineStr">
        <is>
          <t>Kahowec</t>
        </is>
      </c>
      <c r="E41" s="61" t="inlineStr">
        <is>
          <t>Automation and Infrastructure Eng.</t>
        </is>
      </c>
      <c r="F41" s="61" t="inlineStr">
        <is>
          <t>Automation/IT</t>
        </is>
      </c>
      <c r="G41" s="61" t="inlineStr">
        <is>
          <t>alexandre.kahowec@samarco.com</t>
        </is>
      </c>
      <c r="H41" s="61" t="inlineStr">
        <is>
          <t>+55 800 033 8485</t>
        </is>
      </c>
      <c r="I41" s="61" t="inlineStr">
        <is>
          <t>linkedin.com/in/avkahowec</t>
        </is>
      </c>
      <c r="J41" s="61" t="inlineStr">
        <is>
          <t>Vila Velha, ES</t>
        </is>
      </c>
      <c r="K41" s="62" t="inlineStr">
        <is>
          <t>New</t>
        </is>
      </c>
      <c r="L41" s="56" t="inlineStr">
        <is>
          <t>High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/>
      <c r="Q41" s="63" t="inlineStr">
        <is>
          <t>Abordagem técnica via LinkedIn — SCADA, infraestrutura, automação industrial</t>
        </is>
      </c>
      <c r="R41" s="60" t="n"/>
      <c r="S41" s="60" t="n"/>
      <c r="T41" s="61" t="inlineStr">
        <is>
          <t>Apollo+LinkedIn</t>
        </is>
      </c>
      <c r="U41" s="64" t="n">
        <v>46093</v>
      </c>
      <c r="V41" s="61" t="n"/>
      <c r="W41" s="65">
        <f>IF(R41&lt;&gt;"","In Global",IF(OR(K41="Meeting Scheduled",K41="Proposal Sent",K41="Client"),"Register",""))</f>
        <v/>
      </c>
      <c r="X41" s="61" t="inlineStr">
        <is>
          <t>Eng. Automação e Infraestrutura (2020). Antes em MCA Auditoria e EPC Engenharia. Perfil técnico ideal para projetos de automação e Functional Safety.</t>
        </is>
      </c>
      <c r="Y41" s="63" t="n"/>
      <c r="Z41" s="63" t="inlineStr">
        <is>
          <t>Eng. Automação e Infraestrutura (SCADA, redes industriais) — decisor técnico para projetos de automação, Functional Safety e modernização de ativos.</t>
        </is>
      </c>
      <c r="AA41" s="67" t="inlineStr">
        <is>
          <t>SAMARCO MINERAÇÃO? Mining/Pelletization, Guarapari/Anchieta, ES | ~3,600 functions. | R$1.3B revenue | samarco.com | +55 800 033 8485</t>
        </is>
      </c>
      <c r="AB41" s="67" t="inlineStr">
        <is>
          <t>SAMARCO MINERAÇÃO</t>
        </is>
      </c>
      <c r="AC41" s="67" t="inlineStr">
        <is>
          <t>Mining/Pelletization, Guarapari/Anchieta</t>
        </is>
      </c>
      <c r="AD41" s="67" t="inlineStr">
        <is>
          <t>ES</t>
        </is>
      </c>
      <c r="AE41" s="67" t="inlineStr">
        <is>
          <t>~3,600 functions.</t>
        </is>
      </c>
      <c r="AF41" s="67" t="inlineStr">
        <is>
          <t>R$1.3B revenue</t>
        </is>
      </c>
      <c r="AG41" s="67" t="inlineStr">
        <is>
          <t>samarco.com</t>
        </is>
      </c>
      <c r="AH41" s="67" t="inlineStr">
        <is>
          <t>+55 800 033 8485</t>
        </is>
      </c>
    </row>
    <row r="42" ht="45" customHeight="1" s="83">
      <c r="A42" s="53" t="n">
        <v>39</v>
      </c>
      <c r="B42" s="54" t="inlineStr">
        <is>
          <t>SAMARCO</t>
        </is>
      </c>
      <c r="C42" s="54" t="inlineStr">
        <is>
          <t>Alexandre</t>
        </is>
      </c>
      <c r="D42" s="54" t="inlineStr">
        <is>
          <t>Junior</t>
        </is>
      </c>
      <c r="E42" s="54" t="inlineStr">
        <is>
          <t>Automation Specialist Technician</t>
        </is>
      </c>
      <c r="F42" s="54" t="inlineStr">
        <is>
          <t>Automation</t>
        </is>
      </c>
      <c r="G42" s="54" t="inlineStr">
        <is>
          <t>alexandre.junior@samarco.com</t>
        </is>
      </c>
      <c r="H42" s="54" t="inlineStr">
        <is>
          <t>+55 800 033 8485</t>
        </is>
      </c>
      <c r="I42" s="54" t="inlineStr">
        <is>
          <t>linkedin.com/in/alexandre-moure-de-ataide-junior-49273839</t>
        </is>
      </c>
      <c r="J42" s="54" t="inlineStr">
        <is>
          <t>Anchieta, ES</t>
        </is>
      </c>
      <c r="K42" s="62" t="inlineStr">
        <is>
          <t>New</t>
        </is>
      </c>
      <c r="L42" s="59" t="inlineStr">
        <is>
          <t>Medium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/>
      <c r="Q42" s="57" t="inlineStr">
        <is>
          <t>Abordagem técnica via LinkedIn — especialização SCADA/instrumentação</t>
        </is>
      </c>
      <c r="R42" s="53" t="n"/>
      <c r="S42" s="53" t="n"/>
      <c r="T42" s="54" t="inlineStr">
        <is>
          <t>Apollo+LinkedIn</t>
        </is>
      </c>
      <c r="U42" s="58" t="n">
        <v>46093</v>
      </c>
      <c r="V42" s="54" t="n"/>
      <c r="W42" s="59">
        <f>IF(R42&lt;&gt;"","In Global",IF(OR(K42="Meeting Scheduled",K42="Proposal Sent",K42="Client"),"Register",""))</f>
        <v/>
      </c>
      <c r="X42" s="54" t="inlineStr">
        <is>
          <t>Especialista Automação (2022) e Técnico SR Automação por 10 anos antes. Perfil técnico operacional — aderência Man Power Support e Projects automação.</t>
        </is>
      </c>
      <c r="Y42" s="57" t="n"/>
      <c r="Z42" s="57" t="inlineStr">
        <is>
          <t>Technical automation specialist with 14+ years at Samarco; ideal operational contact for Man Power Support and technical execution of field projects.</t>
        </is>
      </c>
      <c r="AA42" s="67" t="inlineStr">
        <is>
          <t>SAMARCO MINERAÇÃO? Mining/Pelletization, Guarapari/Anchieta, ES | ~3,600 functions. | R$1.3B revenue | samarco.com | +55 800 033 8485</t>
        </is>
      </c>
      <c r="AB42" s="67" t="inlineStr">
        <is>
          <t>SAMARCO MINERAÇÃO</t>
        </is>
      </c>
      <c r="AC42" s="67" t="inlineStr">
        <is>
          <t>Mining/Pelletization, Guarapari/Anchieta</t>
        </is>
      </c>
      <c r="AD42" s="67" t="inlineStr">
        <is>
          <t>ES</t>
        </is>
      </c>
      <c r="AE42" s="67" t="inlineStr">
        <is>
          <t>~3,600 functions.</t>
        </is>
      </c>
      <c r="AF42" s="67" t="inlineStr">
        <is>
          <t>R$1.3B revenue</t>
        </is>
      </c>
      <c r="AG42" s="67" t="inlineStr">
        <is>
          <t>samarco.com</t>
        </is>
      </c>
      <c r="AH42" s="67" t="inlineStr">
        <is>
          <t>+55 800 033 8485</t>
        </is>
      </c>
    </row>
    <row r="43" ht="45" customHeight="1" s="83">
      <c r="A43" s="60" t="n">
        <v>44</v>
      </c>
      <c r="B43" s="61" t="inlineStr">
        <is>
          <t>LHOIST</t>
        </is>
      </c>
      <c r="C43" s="61" t="inlineStr">
        <is>
          <t>Carlos</t>
        </is>
      </c>
      <c r="D43" s="61" t="inlineStr">
        <is>
          <t>Rocha</t>
        </is>
      </c>
      <c r="E43" s="61" t="inlineStr">
        <is>
          <t>Industrial Maintenance Coordinator</t>
        </is>
      </c>
      <c r="F43" s="61" t="inlineStr">
        <is>
          <t>Maintenance</t>
        </is>
      </c>
      <c r="G43" s="61" t="inlineStr">
        <is>
          <t>carlos.rocha@lhoist.com</t>
        </is>
      </c>
      <c r="H43" s="61" t="n"/>
      <c r="I43" s="61" t="inlineStr">
        <is>
          <t>linkedin.com/in/carlos-rocha-137a3b1b0</t>
        </is>
      </c>
      <c r="J43" s="61" t="inlineStr">
        <is>
          <t>Vitória, ES</t>
        </is>
      </c>
      <c r="K43" s="62" t="inlineStr">
        <is>
          <t>New</t>
        </is>
      </c>
      <c r="L43" s="56" t="inlineStr">
        <is>
          <t>High</t>
        </is>
      </c>
      <c r="M43" t="inlineStr">
        <is>
          <t>Yes</t>
        </is>
      </c>
      <c r="N43" t="inlineStr"/>
      <c r="O43" t="inlineStr">
        <is>
          <t>Yes</t>
        </is>
      </c>
      <c r="P43" t="inlineStr"/>
      <c r="Q43" s="63" t="inlineStr">
        <is>
          <t>Abordagem via LinkedIn/e-mail — 20 anos de histórico na Lhoist</t>
        </is>
      </c>
      <c r="R43" s="60" t="n"/>
      <c r="S43" s="60" t="n"/>
      <c r="T43" s="61" t="inlineStr">
        <is>
          <t>Apollo+LinkedIn</t>
        </is>
      </c>
      <c r="U43" s="64" t="n">
        <v>46093</v>
      </c>
      <c r="V43" s="61" t="n"/>
      <c r="W43" s="65">
        <f>IF(R43&lt;&gt;"","In Global",IF(OR(K43="Meeting Scheduled",K43="Proposal Sent",K43="Client"),"Register",""))</f>
        <v/>
      </c>
      <c r="X43" s="61" t="inlineStr">
        <is>
          <t>Coord. Manutenção Industrial (2022). Antes Coord. Elétrica/Automação (2015-2021) e Project Engineer (2006-2015). 26 anos total na Lhoist. Influenciador-chave de contratações.</t>
        </is>
      </c>
      <c r="Y43" s="63" t="n"/>
      <c r="Z43" s="63" t="inlineStr">
        <is>
          <t>26 anos na Lhoist (ex-Coord. Elétrica/Automação + Project Eng.); influenciador-chave de contratos de manutenção e projetos elétricos/automação na ES.</t>
        </is>
      </c>
      <c r="AA43" s="67" t="inlineStr">
        <is>
          <t>LHOIST? Mining/Industrial Lime, ES | ~6,600 func. global | R$4.3B revenue | lhoist.com</t>
        </is>
      </c>
      <c r="AB43" s="67" t="inlineStr">
        <is>
          <t>LHOIST</t>
        </is>
      </c>
      <c r="AC43" s="67" t="inlineStr">
        <is>
          <t>Mining/Industrial Lime</t>
        </is>
      </c>
      <c r="AD43" s="67" t="inlineStr">
        <is>
          <t>ES</t>
        </is>
      </c>
      <c r="AE43" s="67" t="inlineStr">
        <is>
          <t>~6,600 func. global</t>
        </is>
      </c>
      <c r="AF43" s="67" t="inlineStr">
        <is>
          <t>R$4.3B revenue</t>
        </is>
      </c>
      <c r="AG43" s="67" t="inlineStr">
        <is>
          <t>lhoist.com</t>
        </is>
      </c>
      <c r="AH43" s="67" t="inlineStr"/>
    </row>
    <row r="44" ht="45" customHeight="1" s="83">
      <c r="A44" s="53" t="n">
        <v>45</v>
      </c>
      <c r="B44" s="54" t="inlineStr">
        <is>
          <t>LHOIST</t>
        </is>
      </c>
      <c r="C44" s="54" t="inlineStr">
        <is>
          <t>Celes</t>
        </is>
      </c>
      <c r="D44" s="54" t="inlineStr">
        <is>
          <t>Junior</t>
        </is>
      </c>
      <c r="E44" s="54" t="inlineStr">
        <is>
          <t>Maintenance Coordinator</t>
        </is>
      </c>
      <c r="F44" s="54" t="inlineStr">
        <is>
          <t>Maintenance</t>
        </is>
      </c>
      <c r="G44" s="54" t="inlineStr">
        <is>
          <t>celes.junior@lhoist.com</t>
        </is>
      </c>
      <c r="H44" s="54" t="n"/>
      <c r="I44" s="54" t="inlineStr">
        <is>
          <t>linkedin.com/in/celes-junior-018a7b11b</t>
        </is>
      </c>
      <c r="J44" s="54" t="inlineStr">
        <is>
          <t>Vila Velha, ES</t>
        </is>
      </c>
      <c r="K44" s="62" t="inlineStr">
        <is>
          <t>New</t>
        </is>
      </c>
      <c r="L44" s="56" t="inlineStr">
        <is>
          <t>High</t>
        </is>
      </c>
      <c r="M44" t="inlineStr">
        <is>
          <t>Yes</t>
        </is>
      </c>
      <c r="N44" t="inlineStr"/>
      <c r="O44" t="inlineStr">
        <is>
          <t>Yes</t>
        </is>
      </c>
      <c r="P44" t="inlineStr"/>
      <c r="Q44" s="57" t="inlineStr">
        <is>
          <t>Abordagem via LinkedIn/e-mail — acionar após ou junto com Carlos Rocha</t>
        </is>
      </c>
      <c r="R44" s="53" t="n"/>
      <c r="S44" s="53" t="n"/>
      <c r="T44" s="54" t="inlineStr">
        <is>
          <t>Apollo+LinkedIn</t>
        </is>
      </c>
      <c r="U44" s="58" t="n">
        <v>46093</v>
      </c>
      <c r="V44" s="54" t="n"/>
      <c r="W44" s="59">
        <f>IF(R44&lt;&gt;"","In Global",IF(OR(K44="Meeting Scheduled",K44="Proposal Sent",K44="Client"),"Register",""))</f>
        <v/>
      </c>
      <c r="X44" s="54" t="inlineStr">
        <is>
          <t>Coord. Manutenção na Lhoist, Vila Velha. Mesmo nível que Carlos Rocha. Abordar em paralelo para reforçar presença. Aderência manutenção industrial.</t>
        </is>
      </c>
      <c r="Y44" s="57" t="n"/>
      <c r="Z44" s="57" t="inlineStr">
        <is>
          <t>Coord. de manutenção em planta industrial em Vila Velha; decisor operacional de serviços técnicos, Man Power Support e pequenos projetos de campo.</t>
        </is>
      </c>
      <c r="AA44" s="67" t="inlineStr">
        <is>
          <t>LHOIST? Mining/Industrial Lime, ES | ~6,600 func. global | R$4.3B revenue | lhoist.com</t>
        </is>
      </c>
      <c r="AB44" s="67" t="inlineStr">
        <is>
          <t>LHOIST</t>
        </is>
      </c>
      <c r="AC44" s="67" t="inlineStr">
        <is>
          <t>Mining/Industrial Lime</t>
        </is>
      </c>
      <c r="AD44" s="67" t="inlineStr">
        <is>
          <t>ES</t>
        </is>
      </c>
      <c r="AE44" s="67" t="inlineStr">
        <is>
          <t>~6,600 func. global</t>
        </is>
      </c>
      <c r="AF44" s="67" t="inlineStr">
        <is>
          <t>R$4.3B revenue</t>
        </is>
      </c>
      <c r="AG44" s="67" t="inlineStr">
        <is>
          <t>lhoist.com</t>
        </is>
      </c>
      <c r="AH44" s="67" t="inlineStr"/>
    </row>
    <row r="45" ht="19.95" customHeight="1" s="83">
      <c r="A45" s="60" t="n">
        <v>46</v>
      </c>
      <c r="B45" s="61" t="inlineStr">
        <is>
          <t>IMETAME</t>
        </is>
      </c>
      <c r="C45" s="61" t="inlineStr">
        <is>
          <t>Ezequiel</t>
        </is>
      </c>
      <c r="D45" s="61" t="inlineStr">
        <is>
          <t>Castilhoni</t>
        </is>
      </c>
      <c r="E45" s="61" t="inlineStr">
        <is>
          <t>Industrial Project Coordinator</t>
        </is>
      </c>
      <c r="F45" s="61" t="inlineStr">
        <is>
          <t>Projects</t>
        </is>
      </c>
      <c r="G45" s="61" t="n"/>
      <c r="H45" s="61" t="inlineStr">
        <is>
          <t>+55 27 3256-0070</t>
        </is>
      </c>
      <c r="I45" s="61" t="inlineStr">
        <is>
          <t>linkedin.com/in/ecastilhoni</t>
        </is>
      </c>
      <c r="J45" s="61" t="inlineStr">
        <is>
          <t>Guarapari, ES</t>
        </is>
      </c>
      <c r="K45" s="62" t="inlineStr">
        <is>
          <t>New</t>
        </is>
      </c>
      <c r="L45" s="56" t="inlineStr">
        <is>
          <t>High</t>
        </is>
      </c>
      <c r="M45" t="inlineStr"/>
      <c r="N45" t="inlineStr">
        <is>
          <t>Yes</t>
        </is>
      </c>
      <c r="O45" t="inlineStr">
        <is>
          <t>Yes</t>
        </is>
      </c>
      <c r="P45" t="inlineStr"/>
      <c r="Q45" s="63" t="inlineStr">
        <is>
          <t>Abordagem via LinkedIn — CAPEX, montagem industrial, coordenação de projetos</t>
        </is>
      </c>
      <c r="R45" s="60" t="n"/>
      <c r="S45" s="60" t="n"/>
      <c r="T45" s="61" t="inlineStr">
        <is>
          <t>LinkedIn</t>
        </is>
      </c>
      <c r="U45" s="64" t="n">
        <v>46093</v>
      </c>
      <c r="V45" s="61" t="n"/>
      <c r="W45" s="65">
        <f>IF(R45&lt;&gt;"","In Global",IF(OR(K45="Meeting Scheduled",K45="Proposal Sent",K45="Client"),"Register",""))</f>
        <v/>
      </c>
      <c r="X45" s="61" t="inlineStr">
        <is>
          <t>Coord. Projetos Industriais desde 2019 (ex-trainee Imetame 2016). Background: CAPEX, construção e montagem, planejamento. Imetame atua em O&amp;G, mineração, energia — alta aderência para Projects e Man Power Support.</t>
        </is>
      </c>
      <c r="Y45" s="63" t="n"/>
      <c r="Z45" s="63" t="inlineStr">
        <is>
          <t>Coord. de Projetos CAPEX em uma das maiores metalmecânicas do ES (~3.400 func.); decide subcontratações e fornecedores de engenharia industrial.</t>
        </is>
      </c>
      <c r="AA45" s="67" t="inlineStr">
        <is>
          <t>IMETAME? Metalmechanics/Industrial, Aracruz, ES | ~3,400 func. | imetame.com.br | +55 27 3256-0070</t>
        </is>
      </c>
      <c r="AB45" s="67" t="inlineStr">
        <is>
          <t>IMETAME</t>
        </is>
      </c>
      <c r="AC45" s="67" t="inlineStr">
        <is>
          <t>Metalmechanics/Industrial, Aracruz</t>
        </is>
      </c>
      <c r="AD45" s="67" t="inlineStr">
        <is>
          <t>ES</t>
        </is>
      </c>
      <c r="AE45" s="67" t="inlineStr">
        <is>
          <t>~3,400 func.</t>
        </is>
      </c>
      <c r="AF45" s="67" t="n"/>
      <c r="AG45" s="67" t="inlineStr">
        <is>
          <t>imetame.com.br</t>
        </is>
      </c>
      <c r="AH45" s="67" t="inlineStr">
        <is>
          <t>+55 27 3256-0070</t>
        </is>
      </c>
    </row>
    <row r="46" ht="45" customHeight="1" s="83">
      <c r="A46" s="53" t="n">
        <v>47</v>
      </c>
      <c r="B46" s="54" t="inlineStr">
        <is>
          <t>QUANT SERVICE</t>
        </is>
      </c>
      <c r="C46" s="54" t="inlineStr">
        <is>
          <t>Igor</t>
        </is>
      </c>
      <c r="D46" s="54" t="inlineStr">
        <is>
          <t>Barbosa</t>
        </is>
      </c>
      <c r="E46" s="54" t="inlineStr">
        <is>
          <t>Industrial Maintenance / Facilities Manager</t>
        </is>
      </c>
      <c r="F46" s="54" t="inlineStr">
        <is>
          <t>Maintenance</t>
        </is>
      </c>
      <c r="G46" s="54" t="inlineStr">
        <is>
          <t>igor.tozzi@quantservice.com</t>
        </is>
      </c>
      <c r="H46" s="54" t="n"/>
      <c r="I46" s="54" t="inlineStr">
        <is>
          <t>linkedin.com/in/igor-tozzi-barbosa-492364120</t>
        </is>
      </c>
      <c r="J46" s="54" t="inlineStr">
        <is>
          <t>Espírito Santo</t>
        </is>
      </c>
      <c r="K46" s="62" t="inlineStr">
        <is>
          <t>New</t>
        </is>
      </c>
      <c r="L46" s="56" t="inlineStr">
        <is>
          <t>High</t>
        </is>
      </c>
      <c r="M46" t="inlineStr">
        <is>
          <t>Yes</t>
        </is>
      </c>
      <c r="N46" t="inlineStr"/>
      <c r="O46" t="inlineStr">
        <is>
          <t>Yes</t>
        </is>
      </c>
      <c r="P46" t="inlineStr"/>
      <c r="Q46" s="57" t="inlineStr">
        <is>
          <t>Abordagem via LinkedIn/e-mail — angle outsourcing e gestão de manutenção</t>
        </is>
      </c>
      <c r="R46" s="53" t="n"/>
      <c r="S46" s="53" t="n"/>
      <c r="T46" s="54" t="inlineStr">
        <is>
          <t>Apollo+LinkedIn</t>
        </is>
      </c>
      <c r="U46" s="58" t="n">
        <v>46093</v>
      </c>
      <c r="V46" s="54" t="n"/>
      <c r="W46" s="59">
        <f>IF(R46&lt;&gt;"","In Global",IF(OR(K46="Meeting Scheduled",K46="Proposal Sent",K46="Client"),"Register",""))</f>
        <v/>
      </c>
      <c r="X46" s="54" t="inlineStr">
        <is>
          <t>Gerente Manutenção Industrial/Facilities na Quant (2022). Antes: Babcock Int. Brasil (Ger. Manutenção 2018-2020) e ÁLAMO Engenharia (8 anos). Quant é empresa de outsourcing de manutenção — parceiro potencial e canal para clientes finais.</t>
        </is>
      </c>
      <c r="Y46" s="57" t="n"/>
      <c r="Z46" s="57" t="inlineStr">
        <is>
          <t>Gerente de Manutenção em empresa de outsourcing industrial — duplo potencial: cliente para soluções Apeiron E canal de acesso aos clientes finais da Quant.</t>
        </is>
      </c>
      <c r="AA46" s="67" t="inlineStr">
        <is>
          <t>HOW MUCH SERVICE? Industrial Maintenance Outsourcing, ES | ~1,100 func. | R$176M revenue | quantservice.com</t>
        </is>
      </c>
      <c r="AB46" s="67" t="inlineStr">
        <is>
          <t>QUANT SERVICE</t>
        </is>
      </c>
      <c r="AC46" s="67" t="inlineStr">
        <is>
          <t>Industrial Maintenance Outsourcing</t>
        </is>
      </c>
      <c r="AD46" s="67" t="inlineStr">
        <is>
          <t>ES</t>
        </is>
      </c>
      <c r="AE46" s="67" t="inlineStr">
        <is>
          <t>~1,100 func.</t>
        </is>
      </c>
      <c r="AF46" s="67" t="inlineStr">
        <is>
          <t>R$176M revenue</t>
        </is>
      </c>
      <c r="AG46" s="67" t="inlineStr">
        <is>
          <t>quantservice.com</t>
        </is>
      </c>
      <c r="AH46" s="67" t="inlineStr"/>
    </row>
    <row r="47" ht="45" customHeight="1" s="83">
      <c r="A47" s="29" t="n">
        <v>48</v>
      </c>
      <c r="B47" s="29" t="inlineStr">
        <is>
          <t>FORTLEV SOLAR</t>
        </is>
      </c>
      <c r="C47" s="29" t="inlineStr">
        <is>
          <t>Eduardo</t>
        </is>
      </c>
      <c r="D47" s="29" t="inlineStr">
        <is>
          <t>Nascimento</t>
        </is>
      </c>
      <c r="E47" s="29" t="inlineStr">
        <is>
          <t>Engineering Manager</t>
        </is>
      </c>
      <c r="F47" s="29" t="inlineStr">
        <is>
          <t>Engineering</t>
        </is>
      </c>
      <c r="G47" s="29" t="inlineStr">
        <is>
          <t>eduardo.nascimento@fortlevsolar.com.br</t>
        </is>
      </c>
      <c r="H47" s="29" t="n"/>
      <c r="I47" s="29" t="inlineStr">
        <is>
          <t>linkedin.com/in/eduardoanascimento</t>
        </is>
      </c>
      <c r="J47" s="29" t="inlineStr">
        <is>
          <t>Vitória, ES</t>
        </is>
      </c>
      <c r="K47" s="30" t="inlineStr">
        <is>
          <t>New</t>
        </is>
      </c>
      <c r="L47" s="31" t="inlineStr">
        <is>
          <t>High</t>
        </is>
      </c>
      <c r="M47" t="inlineStr">
        <is>
          <t>Yes</t>
        </is>
      </c>
      <c r="N47" t="inlineStr"/>
      <c r="O47" t="inlineStr">
        <is>
          <t>Yes</t>
        </is>
      </c>
      <c r="P47" t="inlineStr"/>
      <c r="Q47" s="29" t="inlineStr">
        <is>
          <t>Abordagem via LinkedIn/e-mail — angle projetos elétricos, estruturais e fornecedores de engenharia</t>
        </is>
      </c>
      <c r="R47" s="29" t="n"/>
      <c r="S47" s="29" t="n"/>
      <c r="T47" s="29" t="inlineStr">
        <is>
          <t>Apollo+LinkedIn</t>
        </is>
      </c>
      <c r="U47" s="32" t="n">
        <v>46097</v>
      </c>
      <c r="V47" s="29" t="n"/>
      <c r="W47" s="33">
        <f>IF(R47&lt;&gt;"","In Global",IF(OR(K47="Meeting Scheduled",K47="Proposal Sent",K47="Client"),"Register",""))</f>
        <v/>
      </c>
      <c r="X47" s="29" t="inlineStr">
        <is>
          <t>Lucas</t>
        </is>
      </c>
      <c r="Y47" s="44" t="inlineStr">
        <is>
          <t>Engineering Manager since 2022; former Product Engineer Fortlev Solar (2018). Also a partner at Alvarenga Consultoria. Background in industrial maintenance (Aluminum Profile). Decision maker for installation and engineering projects in the company.</t>
        </is>
      </c>
      <c r="Z47" s="41" t="inlineStr">
        <is>
          <t>Gerente de Engenharia da subsidiária solar do grupo Fortlev (ES); decide projetos de estrutura, instalação e fornecedores técnicos — aderência a Projects e Man Power.</t>
        </is>
      </c>
      <c r="AA47" s="67" t="inlineStr">
        <is>
          <t>FORTLEV SOLAR? Photovoltaic Solar Energy, Serra, ES | ~260 func. | fortlevsolar.com.br</t>
        </is>
      </c>
      <c r="AB47" s="67" t="inlineStr">
        <is>
          <t>FORTLEV SOLAR</t>
        </is>
      </c>
      <c r="AC47" s="67" t="inlineStr">
        <is>
          <t>Photovoltaic Solar Energy, Serra</t>
        </is>
      </c>
      <c r="AD47" s="67" t="inlineStr">
        <is>
          <t>ES</t>
        </is>
      </c>
      <c r="AE47" s="67" t="inlineStr">
        <is>
          <t>~260 func.</t>
        </is>
      </c>
      <c r="AF47" s="67" t="n"/>
      <c r="AG47" s="67" t="inlineStr">
        <is>
          <t>fortlevsolar.com.br</t>
        </is>
      </c>
      <c r="AH47" s="67" t="inlineStr"/>
    </row>
    <row r="48" ht="19.95" customHeight="1" s="83">
      <c r="A48" s="34" t="n">
        <v>49</v>
      </c>
      <c r="B48" s="34" t="inlineStr">
        <is>
          <t>FORTLEV SOLAR</t>
        </is>
      </c>
      <c r="C48" s="34" t="inlineStr">
        <is>
          <t>Diogo</t>
        </is>
      </c>
      <c r="D48" s="34" t="inlineStr">
        <is>
          <t>Dallapicula</t>
        </is>
      </c>
      <c r="E48" s="34" t="inlineStr">
        <is>
          <t>Engineering Coordinator</t>
        </is>
      </c>
      <c r="F48" s="34" t="inlineStr">
        <is>
          <t>Engineering</t>
        </is>
      </c>
      <c r="G48" s="34" t="inlineStr">
        <is>
          <t>diogo.dallapicula@fortlevsolar.com.br</t>
        </is>
      </c>
      <c r="H48" s="34" t="n"/>
      <c r="I48" s="34" t="inlineStr">
        <is>
          <t>linkedin.com/in/diogo-marins-dallapicula</t>
        </is>
      </c>
      <c r="J48" s="34" t="inlineStr">
        <is>
          <t>Vitória, ES</t>
        </is>
      </c>
      <c r="K48" s="30" t="inlineStr">
        <is>
          <t>New</t>
        </is>
      </c>
      <c r="L48" s="31" t="inlineStr">
        <is>
          <t>High</t>
        </is>
      </c>
      <c r="M48" t="inlineStr">
        <is>
          <t>Yes</t>
        </is>
      </c>
      <c r="N48" t="inlineStr"/>
      <c r="O48" t="inlineStr">
        <is>
          <t>Yes</t>
        </is>
      </c>
      <c r="P48" t="inlineStr"/>
      <c r="Q48" s="34" t="inlineStr">
        <is>
          <t>Abordagem técnica via LinkedIn — foco em projetos e coordenação de engenharia</t>
        </is>
      </c>
      <c r="R48" s="34" t="n"/>
      <c r="S48" s="34" t="n"/>
      <c r="T48" s="34" t="inlineStr">
        <is>
          <t>Apollo+LinkedIn</t>
        </is>
      </c>
      <c r="U48" s="35" t="n">
        <v>46097</v>
      </c>
      <c r="V48" s="34" t="n"/>
      <c r="W48" s="36">
        <f>IF(R48&lt;&gt;"","In Global",IF(OR(K48="Meeting Scheduled",K48="Proposal Sent",K48="Client"),"Register",""))</f>
        <v/>
      </c>
      <c r="X48" s="34" t="inlineStr">
        <is>
          <t>Lucas</t>
        </is>
      </c>
      <c r="Y48" s="43" t="inlineStr">
        <is>
          <t>Coord. Engineering since 2021; former A&amp;G engineer. Focus on Data Science and Power BI in addition to technical coordination. Ideal technical-analytical profile for projects.</t>
        </is>
      </c>
      <c r="Z48" s="42" t="inlineStr">
        <is>
          <t>Coordenador de Engenharia da Fortlev Solar, Serra/ES; referência técnica para projetos fotovoltaicos e fornecedores de engenharia — abordagem paralela com Eduardo.</t>
        </is>
      </c>
      <c r="AA48" s="67" t="inlineStr">
        <is>
          <t>FORTLEV SOLAR? Photovoltaic Solar Energy, Serra, ES | ~260 func. | fortlevsolar.com.br</t>
        </is>
      </c>
      <c r="AB48" s="67" t="inlineStr">
        <is>
          <t>FORTLEV SOLAR</t>
        </is>
      </c>
      <c r="AC48" s="67" t="inlineStr">
        <is>
          <t>Photovoltaic Solar Energy, Serra</t>
        </is>
      </c>
      <c r="AD48" s="67" t="inlineStr">
        <is>
          <t>ES</t>
        </is>
      </c>
      <c r="AE48" s="67" t="inlineStr">
        <is>
          <t>~260 func.</t>
        </is>
      </c>
      <c r="AF48" s="67" t="n"/>
      <c r="AG48" s="67" t="inlineStr">
        <is>
          <t>fortlevsolar.com.br</t>
        </is>
      </c>
      <c r="AH48" s="67" t="inlineStr"/>
    </row>
    <row r="49" ht="45" customHeight="1" s="83">
      <c r="A49" s="29" t="n">
        <v>50</v>
      </c>
      <c r="B49" s="29" t="inlineStr">
        <is>
          <t>TRIGOMAIS</t>
        </is>
      </c>
      <c r="C49" s="29" t="inlineStr">
        <is>
          <t>Abraao</t>
        </is>
      </c>
      <c r="D49" s="29" t="inlineStr">
        <is>
          <t>Dantas</t>
        </is>
      </c>
      <c r="E49" s="29" t="inlineStr">
        <is>
          <t>Managing Partner</t>
        </is>
      </c>
      <c r="F49" s="29" t="inlineStr">
        <is>
          <t>Direction/Management</t>
        </is>
      </c>
      <c r="G49" s="29" t="n"/>
      <c r="H49" s="29" t="inlineStr">
        <is>
          <t>+55 27 3218-1411</t>
        </is>
      </c>
      <c r="I49" s="29" t="inlineStr">
        <is>
          <t>linkedin.com/in/abraaodantas</t>
        </is>
      </c>
      <c r="J49" s="29" t="inlineStr">
        <is>
          <t>Serra, ES</t>
        </is>
      </c>
      <c r="K49" s="30" t="inlineStr">
        <is>
          <t>New</t>
        </is>
      </c>
      <c r="L49" s="31" t="inlineStr">
        <is>
          <t>High</t>
        </is>
      </c>
      <c r="M49" t="inlineStr"/>
      <c r="N49" t="inlineStr">
        <is>
          <t>Yes</t>
        </is>
      </c>
      <c r="O49" t="inlineStr">
        <is>
          <t>Yes</t>
        </is>
      </c>
      <c r="P49" t="inlineStr"/>
      <c r="Q49" s="29" t="inlineStr">
        <is>
          <t>Abordagem via LinkedIn — angle soluções para manutenção e eficiência de linha industrial</t>
        </is>
      </c>
      <c r="R49" s="29" t="n"/>
      <c r="S49" s="29" t="n"/>
      <c r="T49" s="29" t="inlineStr">
        <is>
          <t>Apollo+LinkedIn</t>
        </is>
      </c>
      <c r="U49" s="32" t="n">
        <v>46097</v>
      </c>
      <c r="V49" s="29" t="n"/>
      <c r="W49" s="33">
        <f>IF(R49&lt;&gt;"","In Global",IF(OR(K49="Meeting Scheduled",K49="Proposal Sent",K49="Client"),"Register",""))</f>
        <v/>
      </c>
      <c r="X49" s="29" t="inlineStr">
        <is>
          <t>Lucas</t>
        </is>
      </c>
      <c r="Y49" s="44" t="inlineStr">
        <is>
          <t>Managing Partner of Trigomais (Serra, ES). Managing partner with total decision-making power. Company with 110 employees. of food deep freezing — specific industrial equipment (cold rooms, freezing lines, industrial ovens). No Apollo email.</t>
        </is>
      </c>
      <c r="Z49" s="41" t="inlineStr">
        <is>
          <t>Sócio-gestor da Trigomais com poder de decisão máximo; ideal para abordagem direta de parcerias comerciais — decide fornecedores, contratos de manutenção e serviços industriais.</t>
        </is>
      </c>
      <c r="AA49" s="67" t="inlineStr">
        <is>
          <t>WHEAT FOODS? Food Industry (frozen bread), Serra, ES | ~110 func. | trigomais.com.br | +55 27 3218-1411</t>
        </is>
      </c>
      <c r="AB49" s="67" t="inlineStr">
        <is>
          <t>ALIMENTOS TRIGOMAIS</t>
        </is>
      </c>
      <c r="AC49" s="67" t="inlineStr">
        <is>
          <t>Food Industry (frozen bread), Serra</t>
        </is>
      </c>
      <c r="AD49" s="67" t="inlineStr">
        <is>
          <t>ES</t>
        </is>
      </c>
      <c r="AE49" s="67" t="inlineStr">
        <is>
          <t>~110 func.</t>
        </is>
      </c>
      <c r="AF49" s="67" t="n"/>
      <c r="AG49" s="67" t="inlineStr">
        <is>
          <t>trigomais.com.br</t>
        </is>
      </c>
      <c r="AH49" s="67" t="inlineStr">
        <is>
          <t>+55 27 3218-1411</t>
        </is>
      </c>
    </row>
    <row r="50" ht="19.95" customHeight="1" s="83">
      <c r="A50" s="34" t="n">
        <v>51</v>
      </c>
      <c r="B50" s="34" t="inlineStr">
        <is>
          <t>TRIGOMAIS</t>
        </is>
      </c>
      <c r="C50" s="34" t="inlineStr">
        <is>
          <t>Paulo</t>
        </is>
      </c>
      <c r="D50" s="34" t="inlineStr">
        <is>
          <t>Sergio</t>
        </is>
      </c>
      <c r="E50" s="34" t="inlineStr">
        <is>
          <t>TEC Supervisor</t>
        </is>
      </c>
      <c r="F50" s="34" t="inlineStr">
        <is>
          <t>Maintenance/Production</t>
        </is>
      </c>
      <c r="G50" s="34" t="n"/>
      <c r="H50" s="34" t="inlineStr">
        <is>
          <t>+55 27 3218-1411</t>
        </is>
      </c>
      <c r="I50" s="34" t="inlineStr">
        <is>
          <t>linkedin.com/in/paulo-sergio-210763188</t>
        </is>
      </c>
      <c r="J50" s="34" t="inlineStr">
        <is>
          <t>Vila Velha, ES</t>
        </is>
      </c>
      <c r="K50" s="30" t="inlineStr">
        <is>
          <t>New</t>
        </is>
      </c>
      <c r="L50" s="37" t="inlineStr">
        <is>
          <t>Medium</t>
        </is>
      </c>
      <c r="M50" t="inlineStr"/>
      <c r="N50" t="inlineStr">
        <is>
          <t>Yes</t>
        </is>
      </c>
      <c r="O50" t="inlineStr">
        <is>
          <t>Yes</t>
        </is>
      </c>
      <c r="P50" t="inlineStr"/>
      <c r="Q50" s="34" t="inlineStr">
        <is>
          <t>Abordagem via LinkedIn — angle suporte técnico de manutenção industrial alimentícia</t>
        </is>
      </c>
      <c r="R50" s="34" t="n"/>
      <c r="S50" s="34" t="n"/>
      <c r="T50" s="34" t="inlineStr">
        <is>
          <t>Apollo+LinkedIn</t>
        </is>
      </c>
      <c r="U50" s="35" t="n">
        <v>46097</v>
      </c>
      <c r="V50" s="34" t="n"/>
      <c r="W50" s="36">
        <f>IF(R50&lt;&gt;"","In Global",IF(OR(K50="Meeting Scheduled",K50="Proposal Sent",K50="Client"),"Register",""))</f>
        <v/>
      </c>
      <c r="X50" s="34" t="inlineStr">
        <is>
          <t>Lucas</t>
        </is>
      </c>
      <c r="Y50" s="43" t="inlineStr">
        <is>
          <t>TEC Supervisor at Trigomais since September 2017. Food industry with deep-freezing line — industrial equipment that requires specialized maintenance. No Apollo email; activate via LinkedIn or company phone number.</t>
        </is>
      </c>
      <c r="Z50" s="42" t="inlineStr">
        <is>
          <t>Technical Maintenance Supervisor at Trigomais since 2017; operational contact for Man Power Support and supply of MRO parts in industrial deep freezing line.</t>
        </is>
      </c>
      <c r="AA50" s="67" t="inlineStr">
        <is>
          <t>WHEAT FOODS? Food Industry (frozen bread), Serra, ES | ~110 func. | trigomais.com.br | +55 27 3218-1411</t>
        </is>
      </c>
      <c r="AB50" s="67" t="inlineStr">
        <is>
          <t>ALIMENTOS TRIGOMAIS</t>
        </is>
      </c>
      <c r="AC50" s="67" t="inlineStr">
        <is>
          <t>Food Industry (frozen bread), Serra</t>
        </is>
      </c>
      <c r="AD50" s="67" t="inlineStr">
        <is>
          <t>ES</t>
        </is>
      </c>
      <c r="AE50" s="67" t="inlineStr">
        <is>
          <t>~110 func.</t>
        </is>
      </c>
      <c r="AF50" s="67" t="n"/>
      <c r="AG50" s="67" t="inlineStr">
        <is>
          <t>trigomais.com.br</t>
        </is>
      </c>
      <c r="AH50" s="67" t="inlineStr">
        <is>
          <t>+55 27 3218-1411</t>
        </is>
      </c>
    </row>
    <row r="51" ht="45" customHeight="1" s="83">
      <c r="A51" s="29" t="n">
        <v>52</v>
      </c>
      <c r="B51" s="29" t="inlineStr">
        <is>
          <t>BRASIGRAN</t>
        </is>
      </c>
      <c r="C51" s="29" t="inlineStr">
        <is>
          <t>Onair</t>
        </is>
      </c>
      <c r="D51" s="29" t="inlineStr">
        <is>
          <t>Brasigran</t>
        </is>
      </c>
      <c r="E51" s="29" t="inlineStr">
        <is>
          <t>Maintenance Supervisor</t>
        </is>
      </c>
      <c r="F51" s="29" t="inlineStr">
        <is>
          <t>Maintenance</t>
        </is>
      </c>
      <c r="G51" s="29" t="n"/>
      <c r="H51" s="29" t="n"/>
      <c r="I51" s="29" t="inlineStr">
        <is>
          <t>linkedin.com/in/onair-brasigran-5a1626a0</t>
        </is>
      </c>
      <c r="J51" s="29" t="inlineStr">
        <is>
          <t>Serra, ES</t>
        </is>
      </c>
      <c r="K51" s="30" t="inlineStr">
        <is>
          <t>New</t>
        </is>
      </c>
      <c r="L51" s="31" t="inlineStr">
        <is>
          <t>High</t>
        </is>
      </c>
      <c r="M51" t="inlineStr"/>
      <c r="N51" t="inlineStr"/>
      <c r="O51" t="inlineStr">
        <is>
          <t>Yes</t>
        </is>
      </c>
      <c r="P51" t="inlineStr"/>
      <c r="Q51" s="29" t="inlineStr">
        <is>
          <t>Abordagem via LinkedIn — angle manutenção de equipamentos de corte/beneficiamento de granito</t>
        </is>
      </c>
      <c r="R51" s="29" t="n"/>
      <c r="S51" s="29" t="n"/>
      <c r="T51" s="29" t="inlineStr">
        <is>
          <t>Apollo+LinkedIn</t>
        </is>
      </c>
      <c r="U51" s="32" t="n">
        <v>46097</v>
      </c>
      <c r="V51" s="29" t="n"/>
      <c r="W51" s="33">
        <f>IF(R51&lt;&gt;"","In Global",IF(OR(K51="Meeting Scheduled",K51="Proposal Sent",K51="Client"),"Register",""))</f>
        <v/>
      </c>
      <c r="X51" s="29" t="inlineStr">
        <is>
          <t>Lucas</t>
        </is>
      </c>
      <c r="Y51" s="44" t="inlineStr">
        <is>
          <t>Maintenance Supervisor at Brasigran (Serra, ES). No email on Apollo. Company with 840 employees, exports granite to the US, China, Europe. Maintenance of cutting, polishing and extraction machines — direct ICP.</t>
        </is>
      </c>
      <c r="Z51" s="41" t="inlineStr">
        <is>
          <t>Supervisor de Manutenção na maior empresa de granito de Serra/ES (~840 func.); gestão de manutenção de maquinário pesado de extração e beneficiamento — ICP direto.</t>
        </is>
      </c>
      <c r="AA51" s="67" t="inlineStr">
        <is>
          <t>BRAZILIAN? Granites and Mining, Serra, ES | ~840 func. | brasigran.com.br</t>
        </is>
      </c>
      <c r="AB51" s="67" t="inlineStr">
        <is>
          <t>BRASIGRAN</t>
        </is>
      </c>
      <c r="AC51" s="67" t="inlineStr">
        <is>
          <t>Granites and Mining, Serra</t>
        </is>
      </c>
      <c r="AD51" s="67" t="inlineStr">
        <is>
          <t>ES</t>
        </is>
      </c>
      <c r="AE51" s="67" t="inlineStr">
        <is>
          <t>~840 func.</t>
        </is>
      </c>
      <c r="AF51" s="67" t="n"/>
      <c r="AG51" s="67" t="inlineStr">
        <is>
          <t>brasigran.com.br</t>
        </is>
      </c>
      <c r="AH51" s="67" t="inlineStr"/>
    </row>
    <row r="52" ht="19.95" customHeight="1" s="83">
      <c r="A52" s="34" t="n">
        <v>53</v>
      </c>
      <c r="B52" s="34" t="inlineStr">
        <is>
          <t>BRASIGRAN</t>
        </is>
      </c>
      <c r="C52" s="34" t="inlineStr">
        <is>
          <t>Samuel</t>
        </is>
      </c>
      <c r="D52" s="34" t="inlineStr">
        <is>
          <t>Araujo</t>
        </is>
      </c>
      <c r="E52" s="34" t="inlineStr">
        <is>
          <t>Head of Innovation Projects</t>
        </is>
      </c>
      <c r="F52" s="34" t="inlineStr">
        <is>
          <t>Projects/Innovation</t>
        </is>
      </c>
      <c r="G52" s="34" t="inlineStr">
        <is>
          <t>slaraujo@brasigran.com.br</t>
        </is>
      </c>
      <c r="H52" s="34" t="n"/>
      <c r="I52" s="34" t="inlineStr">
        <is>
          <t>linkedin.com/in/samuel-araujo-14224195</t>
        </is>
      </c>
      <c r="J52" s="34" t="inlineStr">
        <is>
          <t>Serra, ES</t>
        </is>
      </c>
      <c r="K52" s="30" t="inlineStr">
        <is>
          <t>New</t>
        </is>
      </c>
      <c r="L52" s="31" t="inlineStr">
        <is>
          <t>High</t>
        </is>
      </c>
      <c r="M52" t="inlineStr">
        <is>
          <t>Yes</t>
        </is>
      </c>
      <c r="N52" t="inlineStr"/>
      <c r="O52" t="inlineStr">
        <is>
          <t>Yes</t>
        </is>
      </c>
      <c r="P52" t="inlineStr"/>
      <c r="Q52" s="34" t="inlineStr">
        <is>
          <t>Abordagem via LinkedIn/e-mail — angle inovação industrial e projetos CAPEX</t>
        </is>
      </c>
      <c r="R52" s="34" t="n"/>
      <c r="S52" s="34" t="n"/>
      <c r="T52" s="34" t="inlineStr">
        <is>
          <t>Apollo+LinkedIn</t>
        </is>
      </c>
      <c r="U52" s="35" t="n">
        <v>46097</v>
      </c>
      <c r="V52" s="34" t="n"/>
      <c r="W52" s="36">
        <f>IF(R52&lt;&gt;"","In Global",IF(OR(K52="Meeting Scheduled",K52="Proposal Sent",K52="Client"),"Register",""))</f>
        <v/>
      </c>
      <c r="X52" s="34" t="inlineStr">
        <is>
          <t>Lucas</t>
        </is>
      </c>
      <c r="Y52" s="43" t="inlineStr">
        <is>
          <t>Head of Innovation Projects since Jul/2023; former Production Planning Supervisor (2019-2023). Background: Supply Chain Analyst (Estée Lauder) and Operations Supervisor (Tegma). Leads innovation and expansion projects — decision-maker for engineering suppliers.</t>
        </is>
      </c>
      <c r="Z52" s="42" t="inlineStr">
        <is>
          <t>Head de Inovação e Projetos na Brasigran; decide fornecedores de tecnologia industrial e projetos de modernização — abertura natural para soluções Apeiron em CAPEX e automação.</t>
        </is>
      </c>
      <c r="AA52" s="67" t="inlineStr">
        <is>
          <t>BRAZILIAN? Granites and Mining, Serra, ES | ~840 func. | brasigran.com.br</t>
        </is>
      </c>
      <c r="AB52" s="67" t="inlineStr">
        <is>
          <t>BRASIGRAN</t>
        </is>
      </c>
      <c r="AC52" s="67" t="inlineStr">
        <is>
          <t>Granites and Mining, Serra</t>
        </is>
      </c>
      <c r="AD52" s="67" t="inlineStr">
        <is>
          <t>ES</t>
        </is>
      </c>
      <c r="AE52" s="67" t="inlineStr">
        <is>
          <t>~840 func.</t>
        </is>
      </c>
      <c r="AF52" s="67" t="n"/>
      <c r="AG52" s="67" t="inlineStr">
        <is>
          <t>brasigran.com.br</t>
        </is>
      </c>
      <c r="AH52" s="67" t="inlineStr"/>
    </row>
    <row r="53" ht="45" customHeight="1" s="83">
      <c r="A53" s="29" t="n">
        <v>54</v>
      </c>
      <c r="B53" s="29" t="inlineStr">
        <is>
          <t>ANDRADE STONES</t>
        </is>
      </c>
      <c r="C53" s="29" t="inlineStr">
        <is>
          <t>Carlos</t>
        </is>
      </c>
      <c r="D53" s="29" t="inlineStr">
        <is>
          <t>Salviano</t>
        </is>
      </c>
      <c r="E53" s="29" t="inlineStr">
        <is>
          <t>Mining Manager</t>
        </is>
      </c>
      <c r="F53" s="29" t="inlineStr">
        <is>
          <t>Operations/Mining</t>
        </is>
      </c>
      <c r="G53" s="29" t="inlineStr">
        <is>
          <t>carlos@andradesa.com.br</t>
        </is>
      </c>
      <c r="H53" s="29" t="inlineStr">
        <is>
          <t>+55 27 2124-1222</t>
        </is>
      </c>
      <c r="I53" s="29" t="inlineStr">
        <is>
          <t>linkedin.com/in/carlos-salviano-28470a120</t>
        </is>
      </c>
      <c r="J53" s="29" t="inlineStr">
        <is>
          <t>Serra, ES</t>
        </is>
      </c>
      <c r="K53" s="30" t="inlineStr">
        <is>
          <t>New</t>
        </is>
      </c>
      <c r="L53" s="31" t="inlineStr">
        <is>
          <t>High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/>
      <c r="Q53" s="29" t="inlineStr">
        <is>
          <t>Abordagem via LinkedIn/e-mail — angle manutenção de equipamentos de mineração e CAPEX</t>
        </is>
      </c>
      <c r="R53" s="29" t="n"/>
      <c r="S53" s="29" t="n"/>
      <c r="T53" s="29" t="inlineStr">
        <is>
          <t>Apollo+LinkedIn</t>
        </is>
      </c>
      <c r="U53" s="32" t="n">
        <v>46097</v>
      </c>
      <c r="V53" s="29" t="n"/>
      <c r="W53" s="33">
        <f>IF(R53&lt;&gt;"","In Global",IF(OR(K53="Meeting Scheduled",K53="Proposal Sent",K53="Client"),"Register",""))</f>
        <v/>
      </c>
      <c r="X53" s="29" t="inlineStr">
        <is>
          <t>Lucas</t>
        </is>
      </c>
      <c r="Y53" s="44" t="inlineStr">
        <is>
          <t>Mining Manager since 2006 (20+ years in the company). Before: Industrial Manager (2002-2006). Operates 10 active quarries with heavy Italian machinery — huge maintenance demands. Email verified. High-level operational decision maker.</t>
        </is>
      </c>
      <c r="Z53" s="41" t="inlineStr">
        <is>
          <t>Gerente de Mineração há 20+ anos na Andrade Stones; gere 10 pedreiras ativas com maquinário pesado de extração — grande demandante de manutenção industrial e peças MRO.</t>
        </is>
      </c>
      <c r="AA53" s="67" t="inlineStr">
        <is>
          <t>ANDRADE STONES? Granites and Ornamental Rocks, Serra, ES | ~85 func. | andradestones.com | +55 27 2124-1222</t>
        </is>
      </c>
      <c r="AB53" s="67" t="inlineStr">
        <is>
          <t>ANDRADE STONES</t>
        </is>
      </c>
      <c r="AC53" s="67" t="inlineStr">
        <is>
          <t>Granites and Ornamental Rocks, Serra</t>
        </is>
      </c>
      <c r="AD53" s="67" t="inlineStr">
        <is>
          <t>ES</t>
        </is>
      </c>
      <c r="AE53" s="67" t="inlineStr">
        <is>
          <t>~85 func.</t>
        </is>
      </c>
      <c r="AF53" s="67" t="n"/>
      <c r="AG53" s="67" t="inlineStr">
        <is>
          <t>andradestones.com</t>
        </is>
      </c>
      <c r="AH53" s="67" t="inlineStr">
        <is>
          <t>+55 27 2124-1222</t>
        </is>
      </c>
    </row>
    <row r="54" ht="45" customHeight="1" s="83">
      <c r="A54" s="34" t="n">
        <v>55</v>
      </c>
      <c r="B54" s="34" t="inlineStr">
        <is>
          <t>ANDRADE STONES</t>
        </is>
      </c>
      <c r="C54" s="34" t="inlineStr">
        <is>
          <t>Patricia</t>
        </is>
      </c>
      <c r="D54" s="34" t="inlineStr">
        <is>
          <t>Morellato</t>
        </is>
      </c>
      <c r="E54" s="34" t="inlineStr">
        <is>
          <t>Purchasing Supervisor</t>
        </is>
      </c>
      <c r="F54" s="34" t="inlineStr">
        <is>
          <t>Supplies/Shopping</t>
        </is>
      </c>
      <c r="G54" s="34" t="inlineStr">
        <is>
          <t>patriciamorellato@andradestones.com</t>
        </is>
      </c>
      <c r="H54" s="34" t="inlineStr">
        <is>
          <t>+55 27 2124-1222</t>
        </is>
      </c>
      <c r="I54" s="34" t="inlineStr">
        <is>
          <t>linkedin.com/in/patricia-morellato-1b85a359</t>
        </is>
      </c>
      <c r="J54" s="34" t="inlineStr">
        <is>
          <t>Serra, ES</t>
        </is>
      </c>
      <c r="K54" s="30" t="inlineStr">
        <is>
          <t>New</t>
        </is>
      </c>
      <c r="L54" s="31" t="inlineStr">
        <is>
          <t>High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/>
      <c r="Q54" s="34" t="inlineStr">
        <is>
          <t>Abordagem via e-mail/LinkedIn — angle homologação de fornecedores MRO e serviços técnicos</t>
        </is>
      </c>
      <c r="R54" s="34" t="n"/>
      <c r="S54" s="34" t="n"/>
      <c r="T54" s="34" t="inlineStr">
        <is>
          <t>Apollo+LinkedIn</t>
        </is>
      </c>
      <c r="U54" s="35" t="n">
        <v>46097</v>
      </c>
      <c r="V54" s="34" t="n"/>
      <c r="W54" s="36">
        <f>IF(R54&lt;&gt;"","In Global",IF(OR(K54="Meeting Scheduled",K54="Proposal Sent",K54="Client"),"Register",""))</f>
        <v/>
      </c>
      <c r="X54" s="34" t="inlineStr">
        <is>
          <t>Lucas</t>
        </is>
      </c>
      <c r="Y54" s="43" t="inlineStr">
        <is>
          <t>Purchasing Supervisor since 2021; former Logistics Supervisor at Granito Zucchi (7 years). Extensive knowledge of the ornamental stone sector. MRO and services purchasing decision-maker. Verified email — direct approach.</t>
        </is>
      </c>
      <c r="Z54" s="42" t="inlineStr">
        <is>
          <t>Supervisora de Compras da Andrade Stones; aprova fornecedores de MRO, serviços técnicos e peças para maquinário de extração — entrada direta no fluxo de compras.</t>
        </is>
      </c>
      <c r="AA54" s="67" t="inlineStr">
        <is>
          <t>ANDRADE STONES? Granites and Ornamental Rocks, Serra, ES | ~85 func. | andradestones.com | +55 27 2124-1222</t>
        </is>
      </c>
      <c r="AB54" s="67" t="inlineStr">
        <is>
          <t>ANDRADE STONES</t>
        </is>
      </c>
      <c r="AC54" s="67" t="inlineStr">
        <is>
          <t>Granites and Ornamental Rocks, Serra</t>
        </is>
      </c>
      <c r="AD54" s="67" t="inlineStr">
        <is>
          <t>ES</t>
        </is>
      </c>
      <c r="AE54" s="67" t="inlineStr">
        <is>
          <t>~85 func.</t>
        </is>
      </c>
      <c r="AF54" s="67" t="n"/>
      <c r="AG54" s="67" t="inlineStr">
        <is>
          <t>andradestones.com</t>
        </is>
      </c>
      <c r="AH54" s="67" t="inlineStr">
        <is>
          <t>+55 27 2124-1222</t>
        </is>
      </c>
    </row>
    <row r="55" ht="19.95" customHeight="1" s="83">
      <c r="A55" s="45" t="n">
        <v>56</v>
      </c>
      <c r="B55" s="45" t="inlineStr">
        <is>
          <t>GRANLUX</t>
        </is>
      </c>
      <c r="C55" s="45" t="inlineStr">
        <is>
          <t>?? To map</t>
        </is>
      </c>
      <c r="D55" s="45" t="n"/>
      <c r="E55" s="46" t="inlineStr">
        <is>
          <t>? Not found in Apollo ?</t>
        </is>
      </c>
      <c r="F55" s="45" t="n"/>
      <c r="G55" s="45" t="n"/>
      <c r="H55" s="45" t="n"/>
      <c r="I55" s="45" t="n"/>
      <c r="J55" s="45" t="inlineStr">
        <is>
          <t>Espírito Santo</t>
        </is>
      </c>
      <c r="K55" s="45" t="inlineStr">
        <is>
          <t>New</t>
        </is>
      </c>
      <c r="L55" s="45" t="inlineStr">
        <is>
          <t>Medium</t>
        </is>
      </c>
      <c r="M55" t="inlineStr"/>
      <c r="N55" t="inlineStr"/>
      <c r="O55" t="inlineStr"/>
      <c r="P55" t="inlineStr"/>
      <c r="Q55" s="45" t="inlineStr">
        <is>
          <t>Pesquisa manual via LinkedIn — identificar decisores de manutenção/suprimentos</t>
        </is>
      </c>
      <c r="R55" s="45" t="n"/>
      <c r="S55" s="45" t="n"/>
      <c r="T55" s="45" t="inlineStr">
        <is>
          <t>LinkedIn (manual)</t>
        </is>
      </c>
      <c r="U55" s="47" t="n">
        <v>46097</v>
      </c>
      <c r="V55" s="45" t="n"/>
      <c r="W55" s="45">
        <f>IF(R55&lt;&gt;"","In Global",IF(OR(K55="Meeting Scheduled",K55="Proposal Sent",K55="Client"),"Register",""))</f>
        <v/>
      </c>
      <c r="X55" s="45" t="inlineStr">
        <is>
          <t>Lucas</t>
        </is>
      </c>
      <c r="Y55" s="46" t="inlineStr">
        <is>
          <t>⚠️ No data on Apollo. Manually search LinkedIn: Current Maintenance or Supplies Manager/Coordinator at the company.</t>
        </is>
      </c>
      <c r="Z55" s="46" t="inlineStr">
        <is>
          <t>Company on the Apeiron/ES prospecting list — maintenance/supplies contacts to be mapped manually via LinkedIn. Priority: Manager or Coord. Maintenance.</t>
        </is>
      </c>
      <c r="AA55" s="67" t="inlineStr">
        <is>
          <t>GranLux? Granites and Marbles, Serra, ES | granluxgranitos.com.br</t>
        </is>
      </c>
      <c r="AB55" s="67" t="inlineStr">
        <is>
          <t>GranLux</t>
        </is>
      </c>
      <c r="AC55" s="67" t="inlineStr">
        <is>
          <t>Granites and Marbles, Serra</t>
        </is>
      </c>
      <c r="AD55" s="67" t="inlineStr">
        <is>
          <t>ES</t>
        </is>
      </c>
      <c r="AE55" s="67" t="n"/>
      <c r="AF55" s="67" t="n"/>
      <c r="AG55" s="67" t="inlineStr">
        <is>
          <t>granluxgranitos.com.br</t>
        </is>
      </c>
      <c r="AH55" s="67" t="inlineStr"/>
    </row>
    <row r="56" ht="45" customHeight="1" s="83">
      <c r="A56" s="45" t="n">
        <v>57</v>
      </c>
      <c r="B56" s="45" t="inlineStr">
        <is>
          <t>V. MINAS</t>
        </is>
      </c>
      <c r="C56" s="45" t="inlineStr">
        <is>
          <t>?? To map</t>
        </is>
      </c>
      <c r="D56" s="45" t="n"/>
      <c r="E56" s="46" t="inlineStr">
        <is>
          <t>? Not found in Apollo ?</t>
        </is>
      </c>
      <c r="F56" s="45" t="n"/>
      <c r="G56" s="45" t="n"/>
      <c r="H56" s="45" t="n"/>
      <c r="I56" s="45" t="n"/>
      <c r="J56" s="45" t="inlineStr">
        <is>
          <t>Espírito Santo</t>
        </is>
      </c>
      <c r="K56" s="45" t="inlineStr">
        <is>
          <t>New</t>
        </is>
      </c>
      <c r="L56" s="45" t="inlineStr">
        <is>
          <t>Medium</t>
        </is>
      </c>
      <c r="M56" t="inlineStr"/>
      <c r="N56" t="inlineStr"/>
      <c r="O56" t="inlineStr"/>
      <c r="P56" t="inlineStr"/>
      <c r="Q56" s="45" t="inlineStr">
        <is>
          <t>Pesquisa manual via LinkedIn — identificar decisores de manutenção/suprimentos</t>
        </is>
      </c>
      <c r="R56" s="45" t="n"/>
      <c r="S56" s="45" t="n"/>
      <c r="T56" s="45" t="inlineStr">
        <is>
          <t>LinkedIn (manual)</t>
        </is>
      </c>
      <c r="U56" s="47" t="n">
        <v>46097</v>
      </c>
      <c r="V56" s="45" t="n"/>
      <c r="W56" s="45">
        <f>IF(R56&lt;&gt;"","In Global",IF(OR(K56="Meeting Scheduled",K56="Proposal Sent",K56="Client"),"Register",""))</f>
        <v/>
      </c>
      <c r="X56" s="45" t="inlineStr">
        <is>
          <t>Lucas</t>
        </is>
      </c>
      <c r="Y56" s="46" t="inlineStr">
        <is>
          <t>⚠️ No data on Apollo. Manually search LinkedIn: Current Maintenance or Supplies Manager/Coordinator at the company.</t>
        </is>
      </c>
      <c r="Z56" s="46" t="inlineStr">
        <is>
          <t>Company on the Apeiron/ES prospecting list — maintenance/supplies contacts to be mapped manually via LinkedIn. Priority: Manager or Coord. Maintenance.</t>
        </is>
      </c>
      <c r="AA56" s="67" t="inlineStr">
        <is>
          <t>V. Minas? ES Company | manual search required</t>
        </is>
      </c>
      <c r="AB56" s="67" t="inlineStr">
        <is>
          <t>V. Minas</t>
        </is>
      </c>
      <c r="AC56" s="67" t="inlineStr">
        <is>
          <t>ES Company</t>
        </is>
      </c>
      <c r="AD56" s="67" t="n"/>
      <c r="AE56" s="67" t="inlineStr">
        <is>
          <t>manual search required</t>
        </is>
      </c>
      <c r="AF56" s="67" t="n"/>
      <c r="AG56" s="67" t="inlineStr"/>
      <c r="AH56" s="67" t="inlineStr"/>
    </row>
    <row r="57" ht="45" customHeight="1" s="83">
      <c r="A57" s="45" t="n">
        <v>58</v>
      </c>
      <c r="B57" s="45" t="inlineStr">
        <is>
          <t>FERTPAR</t>
        </is>
      </c>
      <c r="C57" s="45" t="inlineStr">
        <is>
          <t>?? To map</t>
        </is>
      </c>
      <c r="D57" s="45" t="n"/>
      <c r="E57" s="46" t="inlineStr">
        <is>
          <t>? Not found in Apollo ?</t>
        </is>
      </c>
      <c r="F57" s="45" t="n"/>
      <c r="G57" s="45" t="n"/>
      <c r="H57" s="45" t="n"/>
      <c r="I57" s="45" t="n"/>
      <c r="J57" s="45" t="inlineStr">
        <is>
          <t>Espírito Santo</t>
        </is>
      </c>
      <c r="K57" s="45" t="inlineStr">
        <is>
          <t>New</t>
        </is>
      </c>
      <c r="L57" s="45" t="inlineStr">
        <is>
          <t>Medium</t>
        </is>
      </c>
      <c r="M57" t="inlineStr"/>
      <c r="N57" t="inlineStr"/>
      <c r="O57" t="inlineStr"/>
      <c r="P57" t="inlineStr"/>
      <c r="Q57" s="45" t="inlineStr">
        <is>
          <t>Pesquisa manual via LinkedIn — identificar decisores de manutenção/suprimentos</t>
        </is>
      </c>
      <c r="R57" s="45" t="n"/>
      <c r="S57" s="45" t="n"/>
      <c r="T57" s="45" t="inlineStr">
        <is>
          <t>LinkedIn (manual)</t>
        </is>
      </c>
      <c r="U57" s="47" t="n">
        <v>46097</v>
      </c>
      <c r="V57" s="45" t="n"/>
      <c r="W57" s="45">
        <f>IF(R57&lt;&gt;"","In Global",IF(OR(K57="Meeting Scheduled",K57="Proposal Sent",K57="Client"),"Register",""))</f>
        <v/>
      </c>
      <c r="X57" s="45" t="inlineStr">
        <is>
          <t>Lucas</t>
        </is>
      </c>
      <c r="Y57" s="46" t="inlineStr">
        <is>
          <t>⚠️ No data on Apollo. Manually search LinkedIn: Current Maintenance or Supplies Manager/Coordinator at the company.</t>
        </is>
      </c>
      <c r="Z57" s="46" t="inlineStr">
        <is>
          <t>Company on the Apeiron/ES prospecting list — maintenance/supplies contacts to be mapped manually via LinkedIn. Priority: Manager or Coord. Maintenance.</t>
        </is>
      </c>
      <c r="AA57" s="67" t="inlineStr">
        <is>
          <t>Fertpar? ES Company | manual search required</t>
        </is>
      </c>
      <c r="AB57" s="67" t="inlineStr">
        <is>
          <t>Fertpar</t>
        </is>
      </c>
      <c r="AC57" s="67" t="inlineStr">
        <is>
          <t>ES Company</t>
        </is>
      </c>
      <c r="AD57" s="67" t="n"/>
      <c r="AE57" s="67" t="inlineStr">
        <is>
          <t>manual search required</t>
        </is>
      </c>
      <c r="AF57" s="67" t="n"/>
      <c r="AG57" s="67" t="inlineStr"/>
      <c r="AH57" s="67" t="inlineStr"/>
    </row>
    <row r="58" ht="19.95" customHeight="1" s="83">
      <c r="A58" s="45" t="n">
        <v>59</v>
      </c>
      <c r="B58" s="45" t="inlineStr">
        <is>
          <t>ELKEN</t>
        </is>
      </c>
      <c r="C58" s="45" t="inlineStr">
        <is>
          <t>?? To map</t>
        </is>
      </c>
      <c r="D58" s="45" t="n"/>
      <c r="E58" s="46" t="inlineStr">
        <is>
          <t>? Not found in Apollo ?</t>
        </is>
      </c>
      <c r="F58" s="45" t="n"/>
      <c r="G58" s="45" t="n"/>
      <c r="H58" s="45" t="n"/>
      <c r="I58" s="45" t="n"/>
      <c r="J58" s="45" t="inlineStr">
        <is>
          <t>Espírito Santo</t>
        </is>
      </c>
      <c r="K58" s="45" t="inlineStr">
        <is>
          <t>New</t>
        </is>
      </c>
      <c r="L58" s="45" t="inlineStr">
        <is>
          <t>Medium</t>
        </is>
      </c>
      <c r="M58" t="inlineStr"/>
      <c r="N58" t="inlineStr"/>
      <c r="O58" t="inlineStr"/>
      <c r="P58" t="inlineStr"/>
      <c r="Q58" s="45" t="inlineStr">
        <is>
          <t>Pesquisa manual via LinkedIn — identificar decisores de manutenção/suprimentos</t>
        </is>
      </c>
      <c r="R58" s="45" t="n"/>
      <c r="S58" s="45" t="n"/>
      <c r="T58" s="45" t="inlineStr">
        <is>
          <t>LinkedIn (manual)</t>
        </is>
      </c>
      <c r="U58" s="47" t="n">
        <v>46097</v>
      </c>
      <c r="V58" s="45" t="n"/>
      <c r="W58" s="45">
        <f>IF(R58&lt;&gt;"","In Global",IF(OR(K58="Meeting Scheduled",K58="Proposal Sent",K58="Client"),"Register",""))</f>
        <v/>
      </c>
      <c r="X58" s="45" t="inlineStr">
        <is>
          <t>Lucas</t>
        </is>
      </c>
      <c r="Y58" s="46" t="inlineStr">
        <is>
          <t>⚠️ No data on Apollo. Manually search LinkedIn: Current Maintenance or Supplies Manager/Coordinator at the company.</t>
        </is>
      </c>
      <c r="Z58" s="46" t="inlineStr">
        <is>
          <t>Company on the Apeiron/ES prospecting list — maintenance/supplies contacts to be mapped manually via LinkedIn. Priority: Manager or Coord. Maintenance.</t>
        </is>
      </c>
      <c r="AA58" s="67" t="inlineStr">
        <is>
          <t>Elken? ES Company | manual search required</t>
        </is>
      </c>
      <c r="AB58" s="67" t="inlineStr">
        <is>
          <t>Elken</t>
        </is>
      </c>
      <c r="AC58" s="67" t="inlineStr">
        <is>
          <t>ES Company</t>
        </is>
      </c>
      <c r="AD58" s="67" t="n"/>
      <c r="AE58" s="67" t="inlineStr">
        <is>
          <t>manual search required</t>
        </is>
      </c>
      <c r="AF58" s="67" t="n"/>
      <c r="AG58" s="67" t="inlineStr"/>
      <c r="AH58" s="67" t="inlineStr"/>
    </row>
    <row r="59" ht="45" customHeight="1" s="83">
      <c r="A59" s="45" t="n">
        <v>60</v>
      </c>
      <c r="B59" s="45" t="inlineStr">
        <is>
          <t>VANTEC</t>
        </is>
      </c>
      <c r="C59" s="45" t="inlineStr">
        <is>
          <t>?? To map</t>
        </is>
      </c>
      <c r="D59" s="45" t="n"/>
      <c r="E59" s="46" t="inlineStr">
        <is>
          <t>? Not found in Apollo ?</t>
        </is>
      </c>
      <c r="F59" s="45" t="n"/>
      <c r="G59" s="45" t="n"/>
      <c r="H59" s="45" t="n"/>
      <c r="I59" s="45" t="n"/>
      <c r="J59" s="45" t="inlineStr">
        <is>
          <t>Espírito Santo</t>
        </is>
      </c>
      <c r="K59" s="45" t="inlineStr">
        <is>
          <t>New</t>
        </is>
      </c>
      <c r="L59" s="45" t="inlineStr">
        <is>
          <t>Medium</t>
        </is>
      </c>
      <c r="M59" t="inlineStr"/>
      <c r="N59" t="inlineStr"/>
      <c r="O59" t="inlineStr"/>
      <c r="P59" t="inlineStr"/>
      <c r="Q59" s="45" t="inlineStr">
        <is>
          <t>Pesquisa manual via LinkedIn — identificar decisores de manutenção/suprimentos</t>
        </is>
      </c>
      <c r="R59" s="45" t="n"/>
      <c r="S59" s="45" t="n"/>
      <c r="T59" s="45" t="inlineStr">
        <is>
          <t>LinkedIn (manual)</t>
        </is>
      </c>
      <c r="U59" s="47" t="n">
        <v>46097</v>
      </c>
      <c r="V59" s="45" t="n"/>
      <c r="W59" s="45">
        <f>IF(R59&lt;&gt;"","In Global",IF(OR(K59="Meeting Scheduled",K59="Proposal Sent",K59="Client"),"Register",""))</f>
        <v/>
      </c>
      <c r="X59" s="45" t="inlineStr">
        <is>
          <t>Lucas</t>
        </is>
      </c>
      <c r="Y59" s="46" t="inlineStr">
        <is>
          <t>⚠️ No data on Apollo. Manually search LinkedIn: Current Maintenance or Supplies Manager/Coordinator at the company.</t>
        </is>
      </c>
      <c r="Z59" s="46" t="inlineStr">
        <is>
          <t>Company on the Apeiron/ES prospecting list — maintenance/supplies contacts to be mapped manually via LinkedIn. Priority: Manager or Coord. Maintenance.</t>
        </is>
      </c>
      <c r="AA59" s="67" t="inlineStr">
        <is>
          <t>Vantec? ES Company | manual search required</t>
        </is>
      </c>
      <c r="AB59" s="67" t="inlineStr">
        <is>
          <t>Vantec</t>
        </is>
      </c>
      <c r="AC59" s="67" t="inlineStr">
        <is>
          <t>ES Company</t>
        </is>
      </c>
      <c r="AD59" s="67" t="n"/>
      <c r="AE59" s="67" t="inlineStr">
        <is>
          <t>manual search required</t>
        </is>
      </c>
      <c r="AF59" s="67" t="n"/>
      <c r="AG59" s="67" t="inlineStr"/>
      <c r="AH59" s="67" t="inlineStr"/>
    </row>
    <row r="60" ht="45" customHeight="1" s="83">
      <c r="A60" s="45" t="n">
        <v>61</v>
      </c>
      <c r="B60" s="45" t="inlineStr">
        <is>
          <t>CICLO RECICLAGEM</t>
        </is>
      </c>
      <c r="C60" s="45" t="inlineStr">
        <is>
          <t>?? To map</t>
        </is>
      </c>
      <c r="D60" s="45" t="n"/>
      <c r="E60" s="46" t="inlineStr">
        <is>
          <t>? Not found in Apollo ?</t>
        </is>
      </c>
      <c r="F60" s="45" t="n"/>
      <c r="G60" s="45" t="n"/>
      <c r="H60" s="45" t="n"/>
      <c r="I60" s="45" t="n"/>
      <c r="J60" s="45" t="inlineStr">
        <is>
          <t>Espírito Santo</t>
        </is>
      </c>
      <c r="K60" s="45" t="inlineStr">
        <is>
          <t>New</t>
        </is>
      </c>
      <c r="L60" s="45" t="inlineStr">
        <is>
          <t>Medium</t>
        </is>
      </c>
      <c r="M60" t="inlineStr"/>
      <c r="N60" t="inlineStr"/>
      <c r="O60" t="inlineStr"/>
      <c r="P60" t="inlineStr"/>
      <c r="Q60" s="45" t="inlineStr">
        <is>
          <t>Pesquisa manual via LinkedIn — identificar decisores de manutenção/suprimentos</t>
        </is>
      </c>
      <c r="R60" s="45" t="n"/>
      <c r="S60" s="45" t="n"/>
      <c r="T60" s="45" t="inlineStr">
        <is>
          <t>LinkedIn (manual)</t>
        </is>
      </c>
      <c r="U60" s="47" t="n">
        <v>46097</v>
      </c>
      <c r="V60" s="45" t="n"/>
      <c r="W60" s="45">
        <f>IF(R60&lt;&gt;"","In Global",IF(OR(K60="Meeting Scheduled",K60="Proposal Sent",K60="Client"),"Register",""))</f>
        <v/>
      </c>
      <c r="X60" s="45" t="inlineStr">
        <is>
          <t>Lucas</t>
        </is>
      </c>
      <c r="Y60" s="46" t="inlineStr">
        <is>
          <t>⚠️ No data on Apollo. Manually search LinkedIn: Current Maintenance or Supplies Manager/Coordinator at the company.</t>
        </is>
      </c>
      <c r="Z60" s="46" t="inlineStr">
        <is>
          <t>Company on the Apeiron/ES prospecting list — maintenance/supplies contacts to be mapped manually via LinkedIn. Priority: Manager or Coord. Maintenance.</t>
        </is>
      </c>
      <c r="AA60" s="67" t="inlineStr">
        <is>
          <t>Recycling Cycle? Industrial Recycling, ES | ciclo.ind.br</t>
        </is>
      </c>
      <c r="AB60" s="67" t="inlineStr">
        <is>
          <t>Ciclo Reciclagem</t>
        </is>
      </c>
      <c r="AC60" s="67" t="inlineStr">
        <is>
          <t>Industrial Recycling</t>
        </is>
      </c>
      <c r="AD60" s="67" t="inlineStr">
        <is>
          <t>ES</t>
        </is>
      </c>
      <c r="AE60" s="67" t="n"/>
      <c r="AF60" s="67" t="n"/>
      <c r="AG60" s="67" t="inlineStr">
        <is>
          <t>ciclo.ind.br</t>
        </is>
      </c>
      <c r="AH60" s="67" t="inlineStr"/>
    </row>
    <row r="61" ht="19.95" customHeight="1" s="83">
      <c r="A61" s="45" t="n">
        <v>62</v>
      </c>
      <c r="B61" s="45" t="inlineStr">
        <is>
          <t>ECOPLAST</t>
        </is>
      </c>
      <c r="C61" s="45" t="inlineStr">
        <is>
          <t>?? To map</t>
        </is>
      </c>
      <c r="D61" s="45" t="n"/>
      <c r="E61" s="46" t="inlineStr">
        <is>
          <t>? Not found in Apollo ?</t>
        </is>
      </c>
      <c r="F61" s="45" t="n"/>
      <c r="G61" s="45" t="n"/>
      <c r="H61" s="45" t="n"/>
      <c r="I61" s="45" t="n"/>
      <c r="J61" s="45" t="inlineStr">
        <is>
          <t>Espírito Santo</t>
        </is>
      </c>
      <c r="K61" s="45" t="inlineStr">
        <is>
          <t>New</t>
        </is>
      </c>
      <c r="L61" s="45" t="inlineStr">
        <is>
          <t>Medium</t>
        </is>
      </c>
      <c r="M61" t="inlineStr"/>
      <c r="N61" t="inlineStr"/>
      <c r="O61" t="inlineStr"/>
      <c r="P61" t="inlineStr"/>
      <c r="Q61" s="45" t="inlineStr">
        <is>
          <t>Pesquisa manual via LinkedIn — identificar decisores de manutenção/suprimentos</t>
        </is>
      </c>
      <c r="R61" s="45" t="n"/>
      <c r="S61" s="45" t="n"/>
      <c r="T61" s="45" t="inlineStr">
        <is>
          <t>LinkedIn (manual)</t>
        </is>
      </c>
      <c r="U61" s="47" t="n">
        <v>46097</v>
      </c>
      <c r="V61" s="45" t="n"/>
      <c r="W61" s="45">
        <f>IF(R61&lt;&gt;"","In Global",IF(OR(K61="Meeting Scheduled",K61="Proposal Sent",K61="Client"),"Register",""))</f>
        <v/>
      </c>
      <c r="X61" s="45" t="inlineStr">
        <is>
          <t>Lucas</t>
        </is>
      </c>
      <c r="Y61" s="46" t="inlineStr">
        <is>
          <t>⚠️ No data on Apollo. Manually search LinkedIn: Current Maintenance or Supplies Manager/Coordinator at the company.</t>
        </is>
      </c>
      <c r="Z61" s="46" t="inlineStr">
        <is>
          <t>Company on the Apeiron/ES prospecting list — maintenance/supplies contacts to be mapped manually via LinkedIn. Priority: Manager or Coord. Maintenance.</t>
        </is>
      </c>
      <c r="AA61" s="67" t="inlineStr">
        <is>
          <t>Ecoplast? Plastics/Recycling, ES | manual search required</t>
        </is>
      </c>
      <c r="AB61" s="67" t="inlineStr">
        <is>
          <t>Ecoplast</t>
        </is>
      </c>
      <c r="AC61" s="67" t="inlineStr">
        <is>
          <t>Plastics/Recycling</t>
        </is>
      </c>
      <c r="AD61" s="67" t="inlineStr">
        <is>
          <t>ES</t>
        </is>
      </c>
      <c r="AE61" s="67" t="inlineStr">
        <is>
          <t>manual search required</t>
        </is>
      </c>
      <c r="AF61" s="67" t="n"/>
      <c r="AG61" s="67" t="inlineStr"/>
      <c r="AH61" s="67" t="inlineStr"/>
    </row>
    <row r="62" ht="45" customHeight="1" s="83">
      <c r="A62" s="45" t="n">
        <v>63</v>
      </c>
      <c r="B62" s="45" t="inlineStr">
        <is>
          <t>RDG</t>
        </is>
      </c>
      <c r="C62" s="45" t="inlineStr">
        <is>
          <t>?? To map</t>
        </is>
      </c>
      <c r="D62" s="45" t="n"/>
      <c r="E62" s="46" t="inlineStr">
        <is>
          <t>? Not found in Apollo ?</t>
        </is>
      </c>
      <c r="F62" s="45" t="n"/>
      <c r="G62" s="45" t="n"/>
      <c r="H62" s="45" t="n"/>
      <c r="I62" s="45" t="n"/>
      <c r="J62" s="45" t="inlineStr">
        <is>
          <t>Espírito Santo</t>
        </is>
      </c>
      <c r="K62" s="45" t="inlineStr">
        <is>
          <t>New</t>
        </is>
      </c>
      <c r="L62" s="45" t="inlineStr">
        <is>
          <t>Medium</t>
        </is>
      </c>
      <c r="M62" t="inlineStr"/>
      <c r="N62" t="inlineStr"/>
      <c r="O62" t="inlineStr"/>
      <c r="P62" t="inlineStr"/>
      <c r="Q62" s="45" t="inlineStr">
        <is>
          <t>Pesquisa manual via LinkedIn — identificar decisores de manutenção/suprimentos</t>
        </is>
      </c>
      <c r="R62" s="45" t="n"/>
      <c r="S62" s="45" t="n"/>
      <c r="T62" s="45" t="inlineStr">
        <is>
          <t>LinkedIn (manual)</t>
        </is>
      </c>
      <c r="U62" s="47" t="n">
        <v>46097</v>
      </c>
      <c r="V62" s="45" t="n"/>
      <c r="W62" s="45">
        <f>IF(R62&lt;&gt;"","In Global",IF(OR(K62="Meeting Scheduled",K62="Proposal Sent",K62="Client"),"Register",""))</f>
        <v/>
      </c>
      <c r="X62" s="45" t="inlineStr">
        <is>
          <t>Lucas</t>
        </is>
      </c>
      <c r="Y62" s="46" t="inlineStr">
        <is>
          <t>⚠️ No data on Apollo. Manually search LinkedIn: Current Maintenance or Supplies Manager/Coordinator at the company.</t>
        </is>
      </c>
      <c r="Z62" s="46" t="inlineStr">
        <is>
          <t>Company on the Apeiron/ES prospecting list — maintenance/supplies contacts to be mapped manually via LinkedIn. Priority: Manager or Coord. Maintenance.</t>
        </is>
      </c>
      <c r="AA62" s="67" t="inlineStr">
        <is>
          <t>RDG? ES Company | manual search required</t>
        </is>
      </c>
      <c r="AB62" s="67" t="inlineStr">
        <is>
          <t>RDG</t>
        </is>
      </c>
      <c r="AC62" s="67" t="inlineStr">
        <is>
          <t>ES Company</t>
        </is>
      </c>
      <c r="AD62" s="67" t="n"/>
      <c r="AE62" s="67" t="inlineStr">
        <is>
          <t>manual search required</t>
        </is>
      </c>
      <c r="AF62" s="67" t="n"/>
      <c r="AG62" s="67" t="inlineStr"/>
      <c r="AH62" s="67" t="inlineStr"/>
    </row>
    <row r="63" ht="45" customHeight="1" s="83"/>
    <row r="64" ht="19.95" customHeight="1" s="83"/>
    <row r="65" ht="40.05" customHeight="1" s="83"/>
    <row r="66" ht="19.95" customHeight="1" s="83"/>
    <row r="67" ht="40.05" customHeight="1" s="83"/>
    <row r="68" ht="19.95" customHeight="1" s="83"/>
    <row r="69" ht="40.05" customHeight="1" s="83"/>
    <row r="70" ht="19.95" customHeight="1" s="83"/>
    <row r="71" ht="40.05" customHeight="1" s="83"/>
    <row r="72" ht="19.95" customHeight="1" s="83"/>
    <row r="73" ht="40.05" customHeight="1" s="83"/>
    <row r="74" ht="19.95" customHeight="1" s="83"/>
    <row r="75" ht="40.05" customHeight="1" s="83"/>
    <row r="76" ht="19.95" customHeight="1" s="83"/>
    <row r="77" ht="40.05" customHeight="1" s="83"/>
    <row r="78" ht="19.95" customHeight="1" s="83"/>
    <row r="79" ht="40.05" customHeight="1" s="83"/>
    <row r="80" ht="14.4" customHeight="1" s="83"/>
    <row r="81" ht="14.4" customHeight="1" s="83"/>
    <row r="82" ht="14.4" customHeight="1" s="83"/>
    <row r="83" ht="14.4" customHeight="1" s="83"/>
    <row r="84" ht="14.4" customHeight="1" s="83"/>
    <row r="85" ht="14.4" customHeight="1" s="83"/>
    <row r="86" ht="14.4" customHeight="1" s="83"/>
    <row r="87" ht="14.4" customHeight="1" s="83"/>
    <row r="88" ht="14.4" customHeight="1" s="83"/>
    <row r="89" ht="14.4" customHeight="1" s="83"/>
    <row r="90" ht="14.4" customHeight="1" s="83"/>
    <row r="91" ht="14.4" customHeight="1" s="83"/>
    <row r="92" ht="14.4" customHeight="1" s="83"/>
    <row r="93" ht="14.4" customHeight="1" s="83"/>
    <row r="94" ht="14.4" customHeight="1" s="83"/>
    <row r="95" ht="14.4" customHeight="1" s="83"/>
    <row r="96" ht="14.4" customHeight="1" s="83"/>
    <row r="97" ht="14.4" customHeight="1" s="83"/>
    <row r="98" ht="14.4" customHeight="1" s="83"/>
    <row r="99" ht="14.4" customHeight="1" s="83"/>
    <row r="100" ht="14.4" customHeight="1" s="83"/>
    <row r="101" ht="14.4" customHeight="1" s="83"/>
    <row r="102" ht="14.4" customHeight="1" s="83"/>
    <row r="103" ht="14.4" customHeight="1" s="83"/>
    <row r="104" ht="14.4" customHeight="1" s="83"/>
    <row r="105" ht="14.4" customHeight="1" s="83"/>
    <row r="106" ht="14.4" customHeight="1" s="83"/>
    <row r="107" ht="14.4" customHeight="1" s="83"/>
    <row r="108" ht="14.4" customHeight="1" s="83"/>
    <row r="109" ht="14.4" customHeight="1" s="83"/>
    <row r="110" ht="14.4" customHeight="1" s="83"/>
    <row r="111" ht="14.4" customHeight="1" s="83"/>
    <row r="112" ht="14.4" customHeight="1" s="83"/>
    <row r="113" ht="14.4" customHeight="1" s="83"/>
    <row r="114" ht="14.4" customHeight="1" s="83"/>
    <row r="115" ht="14.4" customHeight="1" s="83"/>
    <row r="116" ht="14.4" customHeight="1" s="83"/>
    <row r="117" ht="14.4" customHeight="1" s="83"/>
    <row r="118" ht="14.4" customHeight="1" s="83"/>
    <row r="119" ht="14.4" customHeight="1" s="83"/>
  </sheetData>
  <autoFilter ref="A3:AD62"/>
  <mergeCells count="2">
    <mergeCell ref="A1:U1"/>
    <mergeCell ref="A2:U2"/>
  </mergeCells>
  <dataValidations count="2">
    <dataValidation sqref="K4:K62" showDropDown="0" showInputMessage="0" showErrorMessage="0" allowBlank="1" type="list">
      <formula1>"New,In Contact,Meeting Scheduled,Proposal Sent,Client,Discarded"</formula1>
    </dataValidation>
    <dataValidation sqref="L4:L62" showDropDown="0" showInputMessage="0" showErrorMessage="0" allowBlank="1" type="list">
      <formula1>"High,Medium,Low"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showGridLines="0" zoomScaleNormal="100" workbookViewId="0">
      <selection activeCell="A1" sqref="A1:AD1"/>
    </sheetView>
  </sheetViews>
  <sheetFormatPr baseColWidth="8" defaultColWidth="8.6640625" defaultRowHeight="15" customHeight="1"/>
  <cols>
    <col width="5" customWidth="1" style="83" min="1" max="1"/>
    <col width="14" customWidth="1" style="83" min="2" max="2"/>
    <col width="6" customWidth="1" style="83" min="3" max="3"/>
    <col width="18" customWidth="1" style="83" min="4" max="5"/>
    <col width="12" customWidth="1" style="83" min="6" max="6"/>
    <col width="22" customWidth="1" style="83" min="7" max="7"/>
    <col width="18" customWidth="1" style="83" min="8" max="9"/>
    <col width="10" customWidth="1" style="83" min="10" max="11"/>
    <col width="14" customWidth="1" style="83" min="12" max="12"/>
    <col width="10" customWidth="1" style="83" min="13" max="14"/>
    <col width="16" customWidth="1" style="83" min="15" max="15"/>
    <col width="12" customWidth="1" style="83" min="16" max="16"/>
    <col width="18" customWidth="1" style="83" min="17" max="17"/>
    <col width="14" customWidth="1" style="83" min="18" max="18"/>
    <col width="12" customWidth="1" style="83" min="19" max="19"/>
    <col width="14" customWidth="1" style="83" min="20" max="20"/>
    <col width="30" customWidth="1" style="83" min="21" max="21"/>
    <col width="22" customWidth="1" style="83" min="22" max="22"/>
    <col width="12" customWidth="1" style="83" min="23" max="23"/>
    <col width="14" customWidth="1" style="83" min="24" max="24"/>
    <col width="16" customWidth="1" style="83" min="25" max="25"/>
    <col width="10" customWidth="1" style="83" min="26" max="26"/>
    <col width="18" customWidth="1" style="83" min="27" max="27"/>
    <col width="10" customWidth="1" style="83" min="28" max="28"/>
    <col width="12" customWidth="1" style="83" min="29" max="29"/>
    <col width="14" customWidth="1" style="83" min="30" max="30"/>
  </cols>
  <sheetData>
    <row r="1" ht="42" customHeight="1" s="83">
      <c r="A1" s="99" t="inlineStr">
        <is>
          <t>TEMPLATE — Exact Global Spreadsheet Columns (SharePoint Commercial Dashboard)</t>
        </is>
      </c>
    </row>
    <row r="2" ht="36" customHeight="1" s="83">
      <c r="A2" s="98" t="inlineStr">
        <is>
          <t>Use this tab as a reference when adding a new row to the global spreadsheet. Copy the line from the Contacts tab, fill in the fields below and paste it into the SharePoint spreadsheet.</t>
        </is>
      </c>
    </row>
    <row r="3" ht="19.5" customHeight="1" s="83">
      <c r="A3" s="24" t="inlineStr">
        <is>
          <t>ID_Opportunity</t>
        </is>
      </c>
      <c r="B3" s="24" t="inlineStr">
        <is>
          <t>Date_Creation</t>
        </is>
      </c>
      <c r="C3" s="24" t="inlineStr">
        <is>
          <t>week</t>
        </is>
      </c>
      <c r="D3" s="24" t="inlineStr">
        <is>
          <t>Source_Lead</t>
        </is>
      </c>
      <c r="E3" s="24" t="inlineStr">
        <is>
          <t>Company</t>
        </is>
      </c>
      <c r="F3" s="24" t="inlineStr">
        <is>
          <t>Size_Company</t>
        </is>
      </c>
      <c r="G3" s="24" t="inlineStr">
        <is>
          <t>Contact_Company</t>
        </is>
      </c>
      <c r="H3" s="24" t="inlineStr">
        <is>
          <t>Tax_ID</t>
        </is>
      </c>
      <c r="I3" s="24" t="inlineStr">
        <is>
          <t>Segment</t>
        </is>
      </c>
      <c r="J3" s="24" t="inlineStr">
        <is>
          <t>Country</t>
        </is>
      </c>
      <c r="K3" s="24" t="inlineStr">
        <is>
          <t>Estate</t>
        </is>
      </c>
      <c r="L3" s="24" t="inlineStr">
        <is>
          <t>City</t>
        </is>
      </c>
      <c r="M3" s="24" t="inlineStr">
        <is>
          <t>Seller</t>
        </is>
      </c>
      <c r="N3" s="24" t="inlineStr">
        <is>
          <t>office</t>
        </is>
      </c>
      <c r="O3" s="24" t="inlineStr">
        <is>
          <t>Funnel_Stage</t>
        </is>
      </c>
      <c r="P3" s="24" t="inlineStr">
        <is>
          <t>Status</t>
        </is>
      </c>
      <c r="Q3" s="24" t="inlineStr">
        <is>
          <t>Reason_Lost</t>
        </is>
      </c>
      <c r="R3" s="24" t="inlineStr">
        <is>
          <t>Date_Actual_Stage</t>
        </is>
      </c>
      <c r="S3" s="24" t="inlineStr">
        <is>
          <t>Days_on_Stage</t>
        </is>
      </c>
      <c r="T3" s="24" t="inlineStr">
        <is>
          <t>Date_Next_Action</t>
        </is>
      </c>
      <c r="U3" s="24" t="inlineStr">
        <is>
          <t>NOTE</t>
        </is>
      </c>
      <c r="V3" s="24" t="inlineStr">
        <is>
          <t>RelationShip_With_Customer</t>
        </is>
      </c>
      <c r="W3" s="24" t="inlineStr">
        <is>
          <t>Urgency</t>
        </is>
      </c>
      <c r="X3" s="24" t="inlineStr">
        <is>
          <t>Technical_Fit</t>
        </is>
      </c>
      <c r="Y3" s="24" t="inlineStr">
        <is>
          <t>budget</t>
        </is>
      </c>
      <c r="Z3" s="24" t="inlineStr">
        <is>
          <t>Probability</t>
        </is>
      </c>
      <c r="AA3" s="24" t="inlineStr">
        <is>
          <t>Type of service</t>
        </is>
      </c>
      <c r="AB3" s="24" t="inlineStr">
        <is>
          <t>Currency</t>
        </is>
      </c>
      <c r="AC3" s="24" t="inlineStr">
        <is>
          <t>Forecast_Date</t>
        </is>
      </c>
      <c r="AD3" s="24" t="inlineStr">
        <is>
          <t>Estimated_Value</t>
        </is>
      </c>
    </row>
    <row r="4" ht="36" customHeight="1" s="83">
      <c r="A4" s="25" t="inlineStr">
        <is>
          <t>Automatically generated by SharePoint</t>
        </is>
      </c>
      <c r="B4" s="25" t="inlineStr">
        <is>
          <t>Today's date</t>
        </is>
      </c>
      <c r="C4" s="25" t="inlineStr">
        <is>
          <t>week of the year</t>
        </is>
      </c>
      <c r="D4" s="25" t="inlineStr">
        <is>
          <t>Internal Referral / External Referral / Partners / External Demand / Network Search</t>
        </is>
      </c>
      <c r="E4" s="25" t="inlineStr">
        <is>
          <t>Company name (ex: FORTLEV)</t>
        </is>
      </c>
      <c r="F4" s="25" t="inlineStr">
        <is>
          <t>Small / Medium / Big</t>
        </is>
      </c>
      <c r="G4" s="25" t="inlineStr">
        <is>
          <t>Contact name</t>
        </is>
      </c>
      <c r="H4" s="25" t="inlineStr">
        <is>
          <t>Company CNPJ</t>
        </is>
      </c>
      <c r="I4" s="25" t="inlineStr">
        <is>
          <t>Chemicals/Mining/Steel Makings/etc.</t>
        </is>
      </c>
      <c r="J4" s="25" t="inlineStr">
        <is>
          <t>Brazil</t>
        </is>
      </c>
      <c r="K4" s="25" t="inlineStr">
        <is>
          <t>State (e.g. Espírito Santo)</t>
        </is>
      </c>
      <c r="L4" s="25" t="inlineStr">
        <is>
          <t>City (ex: Serra)</t>
        </is>
      </c>
      <c r="M4" s="25" t="inlineStr">
        <is>
          <t>Lucas / Gustavo</t>
        </is>
      </c>
      <c r="N4" s="25" t="inlineStr">
        <is>
          <t>Brazil</t>
        </is>
      </c>
      <c r="O4" s="25" t="inlineStr">
        <is>
          <t>Lead / Qualification / Proposal / Negotiation / Deal</t>
        </is>
      </c>
      <c r="P4" s="25" t="inlineStr">
        <is>
          <t>Open / Closed - Won / Closed - Lost</t>
        </is>
      </c>
      <c r="Q4" s="25" t="inlineStr">
        <is>
          <t>If lost — reason</t>
        </is>
      </c>
      <c r="R4" s="25" t="inlineStr">
        <is>
          <t>Date you entered this internship</t>
        </is>
      </c>
      <c r="S4" s="25" t="inlineStr">
        <is>
          <t>Automatically calculated</t>
        </is>
      </c>
      <c r="T4" s="25" t="inlineStr">
        <is>
          <t>Next action date</t>
        </is>
      </c>
      <c r="U4" s="25" t="inlineStr">
        <is>
          <t>Observations/context</t>
        </is>
      </c>
      <c r="V4" s="25" t="inlineStr">
        <is>
          <t>New Client / First Technical contact / Worked once / Repeat Customer / Estrategic_Customer</t>
        </is>
      </c>
      <c r="W4" s="25" t="inlineStr">
        <is>
          <t>No urgency / Low / Medium / High / Shutdown</t>
        </is>
      </c>
      <c r="X4" s="25" t="inlineStr">
        <is>
          <t>Out of scope / High risk / Medium / High / Fully compliant</t>
        </is>
      </c>
      <c r="Y4" s="25" t="inlineStr">
        <is>
          <t>No budget / Under definition / Estimated budget / Approved budget</t>
        </is>
      </c>
      <c r="Z4" s="25" t="inlineStr">
        <is>
          <t>0.0 to 1.0 (automatically calculated based on the fields above)</t>
        </is>
      </c>
      <c r="AA4" s="25" t="inlineStr">
        <is>
          <t>Maintenance / Projects / Man power Support / Cybersecurity / etc.</t>
        </is>
      </c>
      <c r="AB4" s="25" t="inlineStr">
        <is>
          <t>BRL/USD</t>
        </is>
      </c>
      <c r="AC4" s="25" t="inlineStr">
        <is>
          <t>Format: 26_Q1 / 26_Q2 / etc.</t>
        </is>
      </c>
      <c r="AD4" s="25" t="inlineStr">
        <is>
          <t>Estimated value in BRL/USD</t>
        </is>
      </c>
    </row>
    <row r="5" ht="19.5" customHeight="1" s="83">
      <c r="A5" s="26" t="inlineStr">
        <is>
          <t>Example →</t>
        </is>
      </c>
      <c r="B5" s="27" t="n">
        <v>46093</v>
      </c>
      <c r="C5" s="28" t="inlineStr">
        <is>
          <t>11</t>
        </is>
      </c>
      <c r="D5" s="28" t="inlineStr">
        <is>
          <t>Partners</t>
        </is>
      </c>
      <c r="E5" s="28" t="inlineStr">
        <is>
          <t>FORTLEV</t>
        </is>
      </c>
      <c r="F5" s="28" t="inlineStr">
        <is>
          <t>Medium</t>
        </is>
      </c>
      <c r="G5" s="28" t="inlineStr">
        <is>
          <t>Franklin Douglas Leal</t>
        </is>
      </c>
      <c r="H5" s="28" t="inlineStr">
        <is>
          <t>32.270.838/0001-91</t>
        </is>
      </c>
      <c r="I5" s="28" t="inlineStr">
        <is>
          <t>chemicals</t>
        </is>
      </c>
      <c r="J5" s="28" t="inlineStr">
        <is>
          <t>Brazil</t>
        </is>
      </c>
      <c r="K5" s="28" t="inlineStr">
        <is>
          <t>Holy Spirit</t>
        </is>
      </c>
      <c r="L5" s="28" t="inlineStr">
        <is>
          <t>Mountain range</t>
        </is>
      </c>
      <c r="M5" s="28" t="inlineStr">
        <is>
          <t>Lucas</t>
        </is>
      </c>
      <c r="N5" s="28" t="inlineStr">
        <is>
          <t>Brazil</t>
        </is>
      </c>
      <c r="O5" s="28" t="inlineStr">
        <is>
          <t>Qualification</t>
        </is>
      </c>
      <c r="P5" s="28" t="inlineStr">
        <is>
          <t>Open</t>
        </is>
      </c>
      <c r="Q5" s="28" t="n"/>
      <c r="R5" s="27" t="n">
        <v>46093</v>
      </c>
      <c r="S5" s="28" t="n"/>
      <c r="T5" s="28" t="n"/>
      <c r="U5" s="28" t="inlineStr">
        <is>
          <t>Contact mapped via Apollo — Fortlev ES supplies</t>
        </is>
      </c>
      <c r="V5" s="28" t="inlineStr">
        <is>
          <t>First technical contact</t>
        </is>
      </c>
      <c r="W5" s="28" t="inlineStr">
        <is>
          <t>High</t>
        </is>
      </c>
      <c r="X5" s="28" t="inlineStr">
        <is>
          <t>Fully compliant</t>
        </is>
      </c>
      <c r="Y5" s="28" t="inlineStr">
        <is>
          <t>Approved budget</t>
        </is>
      </c>
      <c r="Z5" s="28" t="n">
        <v>1</v>
      </c>
      <c r="AA5" s="28" t="inlineStr">
        <is>
          <t>Man power Support</t>
        </is>
      </c>
      <c r="AB5" s="28" t="inlineStr">
        <is>
          <t>BRL</t>
        </is>
      </c>
      <c r="AC5" s="28" t="inlineStr">
        <is>
          <t>26_Q2</t>
        </is>
      </c>
      <c r="AD5" s="28" t="n">
        <v>20000</v>
      </c>
    </row>
  </sheetData>
  <mergeCells count="2">
    <mergeCell ref="A2:AD2"/>
    <mergeCell ref="A1:A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2026-03-12T14:35:27Z</dcterms:created>
  <dcterms:modified xsi:type="dcterms:W3CDTF">2026-03-17T01:54:00Z</dcterms:modified>
  <cp:lastModifiedBy>Lucas Martins Rocha</cp:lastModifiedBy>
  <cp:revision>0</cp:revision>
</cp:coreProperties>
</file>